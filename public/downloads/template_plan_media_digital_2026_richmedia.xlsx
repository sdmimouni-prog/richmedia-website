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e2959ac7c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b7fb2b2ac229470c"/>
    <x:sheet xmlns:r="http://schemas.openxmlformats.org/officeDocument/2006/relationships" name="Plan Média" sheetId="2" r:id="R49df0f1555304f24"/>
    <x:sheet xmlns:r="http://schemas.openxmlformats.org/officeDocument/2006/relationships" name="Prévisions" sheetId="3" r:id="Re8dc3606ac27462e"/>
    <x:sheet xmlns:r="http://schemas.openxmlformats.org/officeDocument/2006/relationships" name="Résultats Réels" sheetId="4" r:id="R7f456e0b51f84334"/>
    <x:sheet xmlns:r="http://schemas.openxmlformats.org/officeDocument/2006/relationships" name="Dashboard" sheetId="5" r:id="Rcb8355534e0e4fc1"/>
    <x:sheet xmlns:r="http://schemas.openxmlformats.org/officeDocument/2006/relationships" name="Benchmarks 2026" sheetId="6" r:id="Rb6ab4d737c064f3f"/>
    <x:sheet xmlns:r="http://schemas.openxmlformats.org/officeDocument/2006/relationships" name="Référentiels" sheetId="7" r:id="R9f1008c4e4f4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#,##0 &quot;MAD&quot;"/>
    <x:numFmt numFmtId="202" formatCode="0.0%"/>
    <x:numFmt numFmtId="203" formatCode="0.00 &quot;MAD&quot;"/>
    <x:numFmt numFmtId="204" formatCode="#,##0"/>
    <x:numFmt numFmtId="205" formatCode="0.00%"/>
    <x:numFmt numFmtId="206" formatCode="0.00x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F2430"/>
      <x:name val="Carlito"/>
    </x:font>
    <x:font>
      <x:sz val="11"/>
      <x:color rgb="FF1F2430"/>
      <x:name val="Carlito"/>
    </x:font>
    <x:font>
      <x:i/>
      <x:sz val="11"/>
      <x:color rgb="FF1F2430"/>
      <x:name val="Carlito"/>
    </x:font>
    <x:font>
      <x:b/>
      <x:sz val="18"/>
      <x:color rgb="FF6C3CF5"/>
      <x:name val="Carlito"/>
    </x:font>
    <x:font>
      <x:b/>
      <x:sz val="16"/>
      <x:color rgb="FF1F2430"/>
      <x:name val="Carlito"/>
    </x:font>
    <x:font>
      <x:i/>
      <x:sz val="11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B12"/>
      </x:patternFill>
    </x:fill>
    <x:fill>
      <x:patternFill patternType="solid">
        <x:fgColor rgb="FF6C3CF5"/>
      </x:patternFill>
    </x:fill>
    <x:fill>
      <x:patternFill patternType="solid">
        <x:fgColor rgb="FFEEE9FF"/>
      </x:patternFill>
    </x:fill>
    <x:fill>
      <x:patternFill patternType="solid">
        <x:fgColor rgb="FFFFFFFF"/>
      </x:patternFill>
    </x:fill>
    <x:fill>
      <x:patternFill patternType="solid">
        <x:fgColor rgb="FFFFF8D8"/>
      </x:patternFill>
    </x:fill>
    <x:fill>
      <x:patternFill patternType="solid">
        <x:fgColor rgb="FFF7F7FA"/>
      </x:patternFill>
    </x:fill>
  </x:fills>
  <x:borders count="12">
    <x:border/>
    <x:border/>
    <x:border>
      <x:bottom/>
    </x:border>
    <x:border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2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3" xfId="0" applyNumberFormat="1" applyFont="1" applyFill="1" applyBorder="1"/>
    <x:xf numFmtId="201" fontId="4" fillId="5" borderId="2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/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 wrapText="1"/>
    </x:xf>
    <x:xf numFmtId="202" fontId="4" fillId="7" borderId="0" xfId="0" applyNumberFormat="1" applyFont="1" applyFill="1" applyBorder="1"/>
    <x:xf numFmtId="202" fontId="4" fillId="7" borderId="2" xfId="0" applyNumberFormat="1" applyFont="1" applyFill="1" applyBorder="1"/>
    <x:xf numFmtId="202" fontId="0" fillId="0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 wrapText="1"/>
    </x:xf>
    <x:xf numFmtId="202" fontId="4" fillId="7" borderId="1" xfId="0" applyNumberFormat="1" applyFont="1" applyFill="1" applyBorder="1"/>
    <x:xf numFmtId="202" fontId="4" fillId="7" borderId="3" xfId="0" applyNumberFormat="1" applyFont="1" applyFill="1" applyBorder="1"/>
    <x:xf numFmtId="202" fontId="0" fillId="0" borderId="1" xfId="0" applyNumberFormat="1" applyFont="1" applyFill="1" applyBorder="1"/>
    <x:xf numFmtId="202" fontId="3" fillId="4" borderId="1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/>
    <x:xf numFmtId="203" fontId="4" fillId="5" borderId="2" xfId="0" applyNumberFormat="1" applyFont="1" applyFill="1" applyBorder="1"/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horizontal="center" vertical="center" wrapText="1"/>
    </x:xf>
    <x:xf numFmtId="203" fontId="4" fillId="5" borderId="1" xfId="0" applyNumberFormat="1" applyFont="1" applyFill="1" applyBorder="1"/>
    <x:xf numFmtId="203" fontId="4" fillId="5" borderId="3" xfId="0" applyNumberFormat="1" applyFont="1" applyFill="1" applyBorder="1"/>
    <x:xf numFmtId="203" fontId="0" fillId="0" borderId="1" xfId="0" applyNumberFormat="1" applyFont="1" applyFill="1" applyBorder="1"/>
    <x:xf numFmtId="203" fontId="3" fillId="4" borderId="1" xfId="0" applyNumberFormat="1" applyFont="1" applyFill="1" applyBorder="1" applyAlignment="1">
      <x:alignment horizontal="center" vertical="center" wrapText="1"/>
    </x:xf>
    <x:xf numFmtId="204" fontId="4" fillId="7" borderId="0" xfId="0" applyNumberFormat="1" applyFont="1" applyFill="1" applyBorder="1"/>
    <x:xf numFmtId="204" fontId="4" fillId="7" borderId="2" xfId="0" applyNumberFormat="1" applyFont="1" applyFill="1" applyBorder="1"/>
    <x:xf numFmtId="204" fontId="0" fillId="0" borderId="0" xfId="0" applyNumberFormat="1" applyFont="1" applyFill="1" applyBorder="1"/>
    <x:xf numFmtId="204" fontId="3" fillId="4" borderId="0" xfId="0" applyNumberFormat="1" applyFont="1" applyFill="1" applyBorder="1" applyAlignment="1">
      <x:alignment horizontal="center" vertical="center" wrapText="1"/>
    </x:xf>
    <x:xf numFmtId="204" fontId="4" fillId="7" borderId="1" xfId="0" applyNumberFormat="1" applyFont="1" applyFill="1" applyBorder="1"/>
    <x:xf numFmtId="204" fontId="4" fillId="7" borderId="3" xfId="0" applyNumberFormat="1" applyFont="1" applyFill="1" applyBorder="1"/>
    <x:xf numFmtId="204" fontId="0" fillId="0" borderId="1" xfId="0" applyNumberFormat="1" applyFont="1" applyFill="1" applyBorder="1"/>
    <x:xf numFmtId="204" fontId="3" fillId="4" borderId="1" xfId="0" applyNumberFormat="1" applyFont="1" applyFill="1" applyBorder="1" applyAlignment="1">
      <x:alignment horizontal="center" vertical="center" wrapText="1"/>
    </x:xf>
    <x:xf numFmtId="205" fontId="4" fillId="5" borderId="0" xfId="0" applyNumberFormat="1" applyFont="1" applyFill="1" applyBorder="1"/>
    <x:xf numFmtId="205" fontId="4" fillId="5" borderId="2" xfId="0" applyNumberFormat="1" applyFont="1" applyFill="1" applyBorder="1"/>
    <x:xf numFmtId="205" fontId="0" fillId="0" borderId="0" xfId="0" applyNumberFormat="1" applyFont="1" applyFill="1" applyBorder="1"/>
    <x:xf numFmtId="205" fontId="3" fillId="4" borderId="0" xfId="0" applyNumberFormat="1" applyFont="1" applyFill="1" applyBorder="1" applyAlignment="1">
      <x:alignment horizontal="center" vertical="center" wrapText="1"/>
    </x:xf>
    <x:xf numFmtId="205" fontId="4" fillId="5" borderId="1" xfId="0" applyNumberFormat="1" applyFont="1" applyFill="1" applyBorder="1"/>
    <x:xf numFmtId="205" fontId="4" fillId="5" borderId="3" xfId="0" applyNumberFormat="1" applyFont="1" applyFill="1" applyBorder="1"/>
    <x:xf numFmtId="205" fontId="0" fillId="0" borderId="1" xfId="0" applyNumberFormat="1" applyFont="1" applyFill="1" applyBorder="1"/>
    <x:xf numFmtId="205" fontId="3" fillId="4" borderId="1" xfId="0" applyNumberFormat="1" applyFont="1" applyFill="1" applyBorder="1" applyAlignment="1">
      <x:alignment horizontal="center" vertical="center" wrapText="1"/>
    </x:xf>
    <x:xf numFmtId="203" fontId="4" fillId="7" borderId="0" xfId="0" applyNumberFormat="1" applyFont="1" applyFill="1" applyBorder="1"/>
    <x:xf numFmtId="203" fontId="4" fillId="7" borderId="2" xfId="0" applyNumberFormat="1" applyFont="1" applyFill="1" applyBorder="1"/>
    <x:xf numFmtId="203" fontId="4" fillId="7" borderId="1" xfId="0" applyNumberFormat="1" applyFont="1" applyFill="1" applyBorder="1"/>
    <x:xf numFmtId="203" fontId="4" fillId="7" borderId="3" xfId="0" applyNumberFormat="1" applyFont="1" applyFill="1" applyBorder="1"/>
    <x:xf numFmtId="201" fontId="4" fillId="5" borderId="0" xfId="0" applyNumberFormat="1" applyFont="1" applyFill="1" applyBorder="1" applyAlignment="1">
      <x:alignment wrapText="1"/>
    </x:xf>
    <x:xf numFmtId="202" fontId="4" fillId="7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4" fontId="4" fillId="7" borderId="0" xfId="0" applyNumberFormat="1" applyFont="1" applyFill="1" applyBorder="1" applyAlignment="1">
      <x:alignment wrapText="1"/>
    </x:xf>
    <x:xf numFmtId="205" fontId="4" fillId="5" borderId="0" xfId="0" applyNumberFormat="1" applyFont="1" applyFill="1" applyBorder="1" applyAlignment="1">
      <x:alignment wrapText="1"/>
    </x:xf>
    <x:xf numFmtId="203" fontId="4" fillId="7" borderId="0" xfId="0" applyNumberFormat="1" applyFont="1" applyFill="1" applyBorder="1" applyAlignment="1">
      <x:alignment wrapText="1"/>
    </x:xf>
    <x:xf numFmtId="201" fontId="4" fillId="5" borderId="2" xfId="0" applyNumberFormat="1" applyFont="1" applyFill="1" applyBorder="1" applyAlignment="1">
      <x:alignment wrapText="1"/>
    </x:xf>
    <x:xf numFmtId="202" fontId="4" fillId="7" borderId="2" xfId="0" applyNumberFormat="1" applyFont="1" applyFill="1" applyBorder="1" applyAlignment="1">
      <x:alignment wrapText="1"/>
    </x:xf>
    <x:xf numFmtId="203" fontId="4" fillId="5" borderId="2" xfId="0" applyNumberFormat="1" applyFont="1" applyFill="1" applyBorder="1" applyAlignment="1">
      <x:alignment wrapText="1"/>
    </x:xf>
    <x:xf numFmtId="204" fontId="4" fillId="7" borderId="2" xfId="0" applyNumberFormat="1" applyFont="1" applyFill="1" applyBorder="1" applyAlignment="1">
      <x:alignment wrapText="1"/>
    </x:xf>
    <x:xf numFmtId="205" fontId="4" fillId="5" borderId="2" xfId="0" applyNumberFormat="1" applyFont="1" applyFill="1" applyBorder="1" applyAlignment="1">
      <x:alignment wrapText="1"/>
    </x:xf>
    <x:xf numFmtId="203" fontId="4" fillId="7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2" fontId="4" fillId="7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204" fontId="4" fillId="7" borderId="1" xfId="0" applyNumberFormat="1" applyFont="1" applyFill="1" applyBorder="1" applyAlignment="1">
      <x:alignment wrapText="1"/>
    </x:xf>
    <x:xf numFmtId="205" fontId="4" fillId="5" borderId="1" xfId="0" applyNumberFormat="1" applyFont="1" applyFill="1" applyBorder="1" applyAlignment="1">
      <x:alignment wrapText="1"/>
    </x:xf>
    <x:xf numFmtId="203" fontId="4" fillId="7" borderId="1" xfId="0" applyNumberFormat="1" applyFont="1" applyFill="1" applyBorder="1" applyAlignment="1">
      <x:alignment wrapText="1"/>
    </x:xf>
    <x:xf numFmtId="201" fontId="4" fillId="5" borderId="3" xfId="0" applyNumberFormat="1" applyFont="1" applyFill="1" applyBorder="1" applyAlignment="1">
      <x:alignment wrapText="1"/>
    </x:xf>
    <x:xf numFmtId="202" fontId="4" fillId="7" borderId="3" xfId="0" applyNumberFormat="1" applyFont="1" applyFill="1" applyBorder="1" applyAlignment="1">
      <x:alignment wrapText="1"/>
    </x:xf>
    <x:xf numFmtId="203" fontId="4" fillId="5" borderId="3" xfId="0" applyNumberFormat="1" applyFont="1" applyFill="1" applyBorder="1" applyAlignment="1">
      <x:alignment wrapText="1"/>
    </x:xf>
    <x:xf numFmtId="204" fontId="4" fillId="7" borderId="3" xfId="0" applyNumberFormat="1" applyFont="1" applyFill="1" applyBorder="1" applyAlignment="1">
      <x:alignment wrapText="1"/>
    </x:xf>
    <x:xf numFmtId="205" fontId="4" fillId="5" borderId="3" xfId="0" applyNumberFormat="1" applyFont="1" applyFill="1" applyBorder="1" applyAlignment="1">
      <x:alignment wrapText="1"/>
    </x:xf>
    <x:xf numFmtId="203" fontId="4" fillId="7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1" fontId="4" fillId="7" borderId="0" xfId="0" applyNumberFormat="1" applyFont="1" applyFill="1" applyBorder="1"/>
    <x:xf numFmtId="201" fontId="4" fillId="7" borderId="2" xfId="0" applyNumberFormat="1" applyFont="1" applyFill="1" applyBorder="1"/>
    <x:xf numFmtId="201" fontId="4" fillId="7" borderId="1" xfId="0" applyNumberFormat="1" applyFont="1" applyFill="1" applyBorder="1"/>
    <x:xf numFmtId="201" fontId="4" fillId="7" borderId="3" xfId="0" applyNumberFormat="1" applyFont="1" applyFill="1" applyBorder="1"/>
    <x:xf numFmtId="205" fontId="4" fillId="7" borderId="0" xfId="0" applyNumberFormat="1" applyFont="1" applyFill="1" applyBorder="1"/>
    <x:xf numFmtId="205" fontId="4" fillId="7" borderId="2" xfId="0" applyNumberFormat="1" applyFont="1" applyFill="1" applyBorder="1"/>
    <x:xf numFmtId="205" fontId="4" fillId="7" borderId="1" xfId="0" applyNumberFormat="1" applyFont="1" applyFill="1" applyBorder="1"/>
    <x:xf numFmtId="205" fontId="4" fillId="7" borderId="3" xfId="0" applyNumberFormat="1" applyFont="1" applyFill="1" applyBorder="1"/>
    <x:xf numFmtId="204" fontId="4" fillId="5" borderId="0" xfId="0" applyNumberFormat="1" applyFont="1" applyFill="1" applyBorder="1"/>
    <x:xf numFmtId="204" fontId="4" fillId="5" borderId="2" xfId="0" applyNumberFormat="1" applyFont="1" applyFill="1" applyBorder="1"/>
    <x:xf numFmtId="204" fontId="4" fillId="5" borderId="1" xfId="0" applyNumberFormat="1" applyFont="1" applyFill="1" applyBorder="1"/>
    <x:xf numFmtId="204" fontId="4" fillId="5" borderId="3" xfId="0" applyNumberFormat="1" applyFont="1" applyFill="1" applyBorder="1"/>
    <x:xf numFmtId="206" fontId="4" fillId="7" borderId="0" xfId="0" applyNumberFormat="1" applyFont="1" applyFill="1" applyBorder="1"/>
    <x:xf numFmtId="206" fontId="4" fillId="7" borderId="2" xfId="0" applyNumberFormat="1" applyFont="1" applyFill="1" applyBorder="1"/>
    <x:xf numFmtId="206" fontId="0" fillId="0" borderId="0" xfId="0" applyNumberFormat="1" applyFont="1" applyFill="1" applyBorder="1"/>
    <x:xf numFmtId="206" fontId="3" fillId="4" borderId="0" xfId="0" applyNumberFormat="1" applyFont="1" applyFill="1" applyBorder="1" applyAlignment="1">
      <x:alignment horizontal="center" vertical="center" wrapText="1"/>
    </x:xf>
    <x:xf numFmtId="206" fontId="4" fillId="7" borderId="1" xfId="0" applyNumberFormat="1" applyFont="1" applyFill="1" applyBorder="1"/>
    <x:xf numFmtId="206" fontId="4" fillId="7" borderId="3" xfId="0" applyNumberFormat="1" applyFont="1" applyFill="1" applyBorder="1"/>
    <x:xf numFmtId="206" fontId="0" fillId="0" borderId="1" xfId="0" applyNumberFormat="1" applyFont="1" applyFill="1" applyBorder="1"/>
    <x:xf numFmtId="206" fontId="3" fillId="4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201" fontId="6" fillId="5" borderId="5" xfId="0" applyNumberFormat="1" applyFont="1" applyFill="1" applyBorder="1" applyAlignment="1">
      <x:alignment horizontal="center" vertical="center"/>
    </x:xf>
    <x:xf numFmtId="201" fontId="6" fillId="5" borderId="6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8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4" fontId="6" fillId="5" borderId="4" xfId="0" applyNumberFormat="1" applyFont="1" applyFill="1" applyBorder="1" applyAlignment="1">
      <x:alignment horizontal="center" vertical="center"/>
    </x:xf>
    <x:xf numFmtId="204" fontId="6" fillId="5" borderId="5" xfId="0" applyNumberFormat="1" applyFont="1" applyFill="1" applyBorder="1" applyAlignment="1">
      <x:alignment horizontal="center" vertical="center"/>
    </x:xf>
    <x:xf numFmtId="204" fontId="6" fillId="5" borderId="6" xfId="0" applyNumberFormat="1" applyFont="1" applyFill="1" applyBorder="1" applyAlignment="1">
      <x:alignment horizontal="center" vertical="center"/>
    </x:xf>
    <x:xf numFmtId="204" fontId="6" fillId="5" borderId="7" xfId="0" applyNumberFormat="1" applyFont="1" applyFill="1" applyBorder="1" applyAlignment="1">
      <x:alignment horizontal="center" vertical="center"/>
    </x:xf>
    <x:xf numFmtId="204" fontId="6" fillId="5" borderId="8" xfId="0" applyNumberFormat="1" applyFont="1" applyFill="1" applyBorder="1" applyAlignment="1">
      <x:alignment horizontal="center" vertical="center"/>
    </x:xf>
    <x:xf numFmtId="204" fontId="6" fillId="5" borderId="9" xfId="0" applyNumberFormat="1" applyFont="1" applyFill="1" applyBorder="1" applyAlignment="1">
      <x:alignment horizontal="center" vertical="center"/>
    </x:xf>
    <x:xf numFmtId="204" fontId="6" fillId="5" borderId="10" xfId="0" applyNumberFormat="1" applyFont="1" applyFill="1" applyBorder="1" applyAlignment="1">
      <x:alignment horizontal="center" vertical="center"/>
    </x:xf>
    <x:xf numFmtId="204" fontId="6" fillId="5" borderId="1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203" fontId="7" fillId="5" borderId="4" xfId="0" applyNumberFormat="1" applyFont="1" applyFill="1" applyBorder="1" applyAlignment="1">
      <x:alignment horizontal="center" vertical="center"/>
    </x:xf>
    <x:xf numFmtId="203" fontId="7" fillId="5" borderId="5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3" fontId="7" fillId="5" borderId="8" xfId="0" applyNumberFormat="1" applyFont="1" applyFill="1" applyBorder="1" applyAlignment="1">
      <x:alignment horizontal="center" vertical="center"/>
    </x:xf>
    <x:xf numFmtId="203" fontId="7" fillId="5" borderId="9" xfId="0" applyNumberFormat="1" applyFont="1" applyFill="1" applyBorder="1" applyAlignment="1">
      <x:alignment horizontal="center" vertical="center"/>
    </x:xf>
    <x:xf numFmtId="203" fontId="7" fillId="5" borderId="10" xfId="0" applyNumberFormat="1" applyFont="1" applyFill="1" applyBorder="1" applyAlignment="1">
      <x:alignment horizontal="center" vertical="center"/>
    </x:xf>
    <x:xf numFmtId="203" fontId="7" fillId="5" borderId="11" xfId="0" applyNumberFormat="1" applyFont="1" applyFill="1" applyBorder="1" applyAlignment="1">
      <x:alignment horizontal="center" vertical="center"/>
    </x:xf>
    <x:xf numFmtId="205" fontId="7" fillId="5" borderId="4" xfId="0" applyNumberFormat="1" applyFont="1" applyFill="1" applyBorder="1" applyAlignment="1">
      <x:alignment horizontal="center" vertical="center"/>
    </x:xf>
    <x:xf numFmtId="205" fontId="7" fillId="5" borderId="5" xfId="0" applyNumberFormat="1" applyFont="1" applyFill="1" applyBorder="1" applyAlignment="1">
      <x:alignment horizontal="center" vertical="center"/>
    </x:xf>
    <x:xf numFmtId="205" fontId="7" fillId="5" borderId="6" xfId="0" applyNumberFormat="1" applyFont="1" applyFill="1" applyBorder="1" applyAlignment="1">
      <x:alignment horizontal="center" vertical="center"/>
    </x:xf>
    <x:xf numFmtId="205" fontId="7" fillId="5" borderId="7" xfId="0" applyNumberFormat="1" applyFont="1" applyFill="1" applyBorder="1" applyAlignment="1">
      <x:alignment horizontal="center" vertical="center"/>
    </x:xf>
    <x:xf numFmtId="205" fontId="7" fillId="5" borderId="8" xfId="0" applyNumberFormat="1" applyFont="1" applyFill="1" applyBorder="1" applyAlignment="1">
      <x:alignment horizontal="center" vertical="center"/>
    </x:xf>
    <x:xf numFmtId="205" fontId="7" fillId="5" borderId="9" xfId="0" applyNumberFormat="1" applyFont="1" applyFill="1" applyBorder="1" applyAlignment="1">
      <x:alignment horizontal="center" vertical="center"/>
    </x:xf>
    <x:xf numFmtId="205" fontId="7" fillId="5" borderId="10" xfId="0" applyNumberFormat="1" applyFont="1" applyFill="1" applyBorder="1" applyAlignment="1">
      <x:alignment horizontal="center" vertical="center"/>
    </x:xf>
    <x:xf numFmtId="205" fontId="7" fillId="5" borderId="11" xfId="0" applyNumberFormat="1" applyFont="1" applyFill="1" applyBorder="1" applyAlignment="1">
      <x:alignment horizontal="center" vertical="center"/>
    </x:xf>
    <x:xf numFmtId="206" fontId="7" fillId="5" borderId="4" xfId="0" applyNumberFormat="1" applyFont="1" applyFill="1" applyBorder="1" applyAlignment="1">
      <x:alignment horizontal="center" vertical="center"/>
    </x:xf>
    <x:xf numFmtId="206" fontId="7" fillId="5" borderId="5" xfId="0" applyNumberFormat="1" applyFont="1" applyFill="1" applyBorder="1" applyAlignment="1">
      <x:alignment horizontal="center" vertical="center"/>
    </x:xf>
    <x:xf numFmtId="206" fontId="7" fillId="5" borderId="6" xfId="0" applyNumberFormat="1" applyFont="1" applyFill="1" applyBorder="1" applyAlignment="1">
      <x:alignment horizontal="center" vertical="center"/>
    </x:xf>
    <x:xf numFmtId="206" fontId="7" fillId="5" borderId="7" xfId="0" applyNumberFormat="1" applyFont="1" applyFill="1" applyBorder="1" applyAlignment="1">
      <x:alignment horizontal="center" vertical="center"/>
    </x:xf>
    <x:xf numFmtId="206" fontId="7" fillId="5" borderId="8" xfId="0" applyNumberFormat="1" applyFont="1" applyFill="1" applyBorder="1" applyAlignment="1">
      <x:alignment horizontal="center" vertical="center"/>
    </x:xf>
    <x:xf numFmtId="206" fontId="7" fillId="5" borderId="9" xfId="0" applyNumberFormat="1" applyFont="1" applyFill="1" applyBorder="1" applyAlignment="1">
      <x:alignment horizontal="center" vertical="center"/>
    </x:xf>
    <x:xf numFmtId="206" fontId="7" fillId="5" borderId="10" xfId="0" applyNumberFormat="1" applyFont="1" applyFill="1" applyBorder="1" applyAlignment="1">
      <x:alignment horizontal="center" vertical="center"/>
    </x:xf>
    <x:xf numFmtId="206" fontId="7" fillId="5" borderId="11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40abec5934b65" /><Relationship Type="http://schemas.openxmlformats.org/officeDocument/2006/relationships/theme" Target="/xl/theme/theme1.xml" Id="R91d163951a0641fd" /><Relationship Type="http://schemas.openxmlformats.org/officeDocument/2006/relationships/sharedStrings" Target="/xl/sharedStrings.xml" Id="Reccc4830302a4591" /><Relationship Type="http://schemas.openxmlformats.org/officeDocument/2006/relationships/worksheet" Target="/xl/worksheets/sheet1.xml" Id="Rb7fb2b2ac229470c" /><Relationship Type="http://schemas.openxmlformats.org/officeDocument/2006/relationships/worksheet" Target="/xl/worksheets/sheet2.xml" Id="R49df0f1555304f24" /><Relationship Type="http://schemas.openxmlformats.org/officeDocument/2006/relationships/worksheet" Target="/xl/worksheets/sheet3.xml" Id="Re8dc3606ac27462e" /><Relationship Type="http://schemas.openxmlformats.org/officeDocument/2006/relationships/worksheet" Target="/xl/worksheets/sheet4.xml" Id="R7f456e0b51f84334" /><Relationship Type="http://schemas.openxmlformats.org/officeDocument/2006/relationships/worksheet" Target="/xl/worksheets/sheet5.xml" Id="Rcb8355534e0e4fc1" /><Relationship Type="http://schemas.openxmlformats.org/officeDocument/2006/relationships/worksheet" Target="/xl/worksheets/sheet6.xml" Id="Rb6ab4d737c064f3f" /><Relationship Type="http://schemas.openxmlformats.org/officeDocument/2006/relationships/worksheet" Target="/xl/worksheets/sheet7.xml" Id="R9f1008c4e4f44a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43dcc050bf46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prévu vs réel par canal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 prévu</c:v>
          </c:tx>
          <c:cat>
            <c:strRef>
              <c:f>'Dashboard'!$A$16:$A$24</c:f>
              <c:strCache>
                <c:ptCount val="0"/>
              </c:strCache>
            </c:strRef>
          </c:cat>
          <c:val>
            <c:numRef>
              <c:f>'Dashboard'!$B$16:$B$24</c:f>
              <c:numCache>
                <c:formatCode>#,##0 "MAD"</c:formatCode>
                <c:ptCount val="0"/>
              </c:numCache>
            </c:numRef>
          </c:val>
        </c:ser>
        <c:ser>
          <c:idx val="1"/>
          <c:order val="1"/>
          <c:tx>
            <c:v>Budget réel</c:v>
          </c:tx>
          <c:cat>
            <c:strRef>
              <c:f>'Dashboard'!$A$16:$A$24</c:f>
              <c:strCache>
                <c:ptCount val="0"/>
              </c:strCache>
            </c:strRef>
          </c:cat>
          <c:val>
            <c:numRef>
              <c:f>'Dashboard'!$C$16:$C$24</c:f>
              <c:numCache>
                <c:formatCode>#,##0 "MAD"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43dcc050bf46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1b77317da154d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14" t="str">
        <x:v>TEMPLATE PLAN MÉDIA DIGITAL 2026 — RICHMEDIA</x:v>
      </x:c>
      <x:c r="B1" s="14"/>
      <x:c r="C1" s="14"/>
      <x:c r="D1" s="14"/>
      <x:c r="E1" s="14"/>
      <x:c r="F1" s="14"/>
    </x:row>
    <x:row r="2" ht="30" customHeight="1">
      <x:c r="A2" s="14"/>
      <x:c r="B2" s="14"/>
      <x:c r="C2" s="14"/>
      <x:c r="D2" s="14"/>
      <x:c r="E2" s="14"/>
      <x:c r="F2" s="14"/>
    </x:row>
    <x:row r="4">
      <x:c r="A4" s="21" t="str">
        <x:v>BRIEF DE CAMPAGNE</x:v>
      </x:c>
      <x:c r="B4" s="21"/>
      <x:c r="C4" s="21"/>
      <x:c r="D4" s="21"/>
      <x:c r="E4" s="21"/>
      <x:c r="F4" s="21"/>
    </x:row>
    <x:row r="5" ht="25" customHeight="1">
      <x:c r="A5" s="30" t="str">
        <x:v>Nom de campagne</x:v>
      </x:c>
      <x:c r="B5" s="37" t="str"/>
      <x:c r="C5" s="30" t="str">
        <x:v>Client / marque</x:v>
      </x:c>
      <x:c r="D5" s="37" t="str"/>
      <x:c r="E5" s="30" t="str">
        <x:v>Responsable</x:v>
      </x:c>
      <x:c r="F5" s="37" t="str"/>
    </x:row>
    <x:row r="6" ht="25" customHeight="1">
      <x:c r="A6" s="30" t="str">
        <x:v>Secteur</x:v>
      </x:c>
      <x:c r="B6" s="37" t="str"/>
      <x:c r="C6" s="30" t="str">
        <x:v>Période de début</x:v>
      </x:c>
      <x:c r="D6" s="50" t="str"/>
      <x:c r="E6" s="51" t="str">
        <x:v>Période de fin</x:v>
      </x:c>
      <x:c r="F6" s="50" t="str"/>
    </x:row>
    <x:row r="7" ht="25" customHeight="1">
      <x:c r="A7" s="30" t="str">
        <x:v>Objectif principal</x:v>
      </x:c>
      <x:c r="B7" s="37" t="str"/>
      <x:c r="C7" s="30" t="str">
        <x:v>Budget média total (MAD)</x:v>
      </x:c>
      <x:c r="D7" s="54" t="str"/>
      <x:c r="E7" s="30" t="str">
        <x:v>Devise</x:v>
      </x:c>
      <x:c r="F7" s="37" t="str">
        <x:v>MAD</x:v>
      </x:c>
    </x:row>
    <x:row r="8" ht="25" customHeight="1">
      <x:c r="A8" s="30" t="str">
        <x:v>Cible / audience</x:v>
      </x:c>
      <x:c r="B8" s="46" t="str"/>
      <x:c r="C8" s="42" t="str"/>
      <x:c r="D8" s="46" t="str"/>
      <x:c r="E8" s="42" t="str"/>
      <x:c r="F8" s="46" t="str"/>
    </x:row>
    <x:row r="9" ht="25" customHeight="1">
      <x:c r="A9" s="30" t="str">
        <x:v>Zones géographiques</x:v>
      </x:c>
      <x:c r="B9" s="46" t="str"/>
      <x:c r="C9" s="42" t="str"/>
      <x:c r="D9" s="46" t="str"/>
      <x:c r="E9" s="42" t="str"/>
      <x:c r="F9" s="46" t="str"/>
    </x:row>
    <x:row r="10" ht="25" customHeight="1">
      <x:c r="A10" s="30" t="str">
        <x:v>Proposition de valeur / offre</x:v>
      </x:c>
      <x:c r="B10" s="47" t="str"/>
      <x:c r="C10" s="43" t="str"/>
      <x:c r="D10" s="47" t="str"/>
      <x:c r="E10" s="43" t="str"/>
      <x:c r="F10" s="47" t="str"/>
    </x:row>
    <x:row r="11" ht="25" customHeight="1">
      <x:c r="A11" s="30" t="str">
        <x:v>KPI business principal</x:v>
      </x:c>
      <x:c r="B11" s="37" t="str"/>
      <x:c r="C11" s="30" t="str">
        <x:v>Objectif KPI</x:v>
      </x:c>
      <x:c r="D11" s="37" t="str"/>
      <x:c r="E11" s="30" t="str">
        <x:v>Source de conversion</x:v>
      </x:c>
      <x:c r="F11" s="37" t="str"/>
    </x:row>
    <x:row r="12" ht="25" customHeight="1">
      <x:c r="A12" s="30" t="str">
        <x:v>Commentaires / contraintes</x:v>
      </x:c>
      <x:c r="B12" s="47" t="str"/>
      <x:c r="C12" s="43" t="str"/>
      <x:c r="D12" s="47" t="str"/>
      <x:c r="E12" s="43" t="str"/>
      <x:c r="F12" s="47" t="str"/>
    </x:row>
    <x:row r="14">
      <x:c r="A14" s="58" t="str">
        <x:v>Mode d'emploi : remplissez d'abord le Brief, puis construisez le Plan Média. Les onglets Prévisions, Résultats Réels et Dashboard se mettent à jour à partir de vos saisies.</x:v>
      </x:c>
      <x:c r="B14" s="58"/>
      <x:c r="C14" s="58"/>
      <x:c r="D14" s="58"/>
      <x:c r="E14" s="58"/>
      <x:c r="F14" s="58"/>
    </x:row>
    <x:row r="15">
      <x:c r="A15" s="58"/>
      <x:c r="B15" s="58"/>
      <x:c r="C15" s="58"/>
      <x:c r="D15" s="58"/>
      <x:c r="E15" s="58"/>
      <x:c r="F15" s="58"/>
    </x:row>
  </x:sheetData>
  <x:mergeCells>
    <x:mergeCell ref="A1:F2"/>
    <x:mergeCell ref="A4:F4"/>
    <x:mergeCell ref="B8:F8"/>
    <x:mergeCell ref="B9:F9"/>
    <x:mergeCell ref="B10:F10"/>
    <x:mergeCell ref="B12:F12"/>
    <x:mergeCell ref="A14:F15"/>
  </x:mergeCells>
  <x:dataValidations count="2">
    <x:dataValidation type="list" sqref="B6">
      <x:formula1>"Éducation,Immobilier,Automobile,Retail / GMS,Tourisme,Banque / Assurance,FMCG,Autres"</x:formula1>
    </x:dataValidation>
    <x:dataValidation type="list" sqref="B7">
      <x:formula1>"Notoriété,Trafic,Leads,Conversions,Drive-to-store,Engagement,Ventes,Inscription,Téléchargement,Appels / RDV,Autre"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8" hidden="0" customWidth="1"/>
    <x:col min="5" max="5" width="16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6" hidden="0" customWidth="1"/>
    <x:col min="11" max="11" width="14" hidden="0" customWidth="1"/>
    <x:col min="12" max="12" width="13" hidden="0" customWidth="1"/>
    <x:col min="13" max="13" width="16" hidden="0" customWidth="1"/>
    <x:col min="14" max="14" width="16" hidden="0" customWidth="1"/>
  </x:cols>
  <x:sheetData>
    <x:row r="1">
      <x:c r="A1" s="14" t="str">
        <x:v>PLAN MÉDIA — PRÉVISIONS PAR LEVIER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22" customHeight="1">
      <x:c r="A4" s="6" t="str">
        <x:v>Canal</x:v>
      </x:c>
      <x:c r="B4" s="6" t="str">
        <x:v>Sous-canal / format</x:v>
      </x:c>
      <x:c r="C4" s="6" t="str">
        <x:v>Objectif</x:v>
      </x:c>
      <x:c r="D4" s="6" t="str">
        <x:v>Audience / ciblage</x:v>
      </x:c>
      <x:c r="E4" s="6" t="str">
        <x:v>Budget (MAD)</x:v>
      </x:c>
      <x:c r="F4" s="6" t="str">
        <x:v>% Budget</x:v>
      </x:c>
      <x:c r="G4" s="6" t="str">
        <x:v>CPM prévu</x:v>
      </x:c>
      <x:c r="H4" s="6" t="str">
        <x:v>Impressions prévues</x:v>
      </x:c>
      <x:c r="I4" s="6" t="str">
        <x:v>CTR prévu</x:v>
      </x:c>
      <x:c r="J4" s="6" t="str">
        <x:v>Clics prévus</x:v>
      </x:c>
      <x:c r="K4" s="6" t="str">
        <x:v>CPC prévu</x:v>
      </x:c>
      <x:c r="L4" s="6" t="str">
        <x:v>Taux conv.</x:v>
      </x:c>
      <x:c r="M4" s="6" t="str">
        <x:v>Leads / conv.</x:v>
      </x:c>
      <x:c r="N4" s="6" t="str">
        <x:v>CPL / CPA prévu</x:v>
      </x:c>
    </x:row>
    <x:row r="5" ht="22" customHeight="1">
      <x:c r="A5" s="46" t="str">
        <x:v>Meta Ads</x:v>
      </x:c>
      <x:c r="B5" s="46" t="str">
        <x:v>Facebook / Instagram</x:v>
      </x:c>
      <x:c r="C5" s="46"/>
      <x:c r="D5" s="46"/>
      <x:c r="E5" s="110"/>
      <x:c r="F5" s="111" t="n">
        <x:f>IFERROR(E5/SUM($E$5:$E$16),0)</x:f>
        <x:v>0</x:v>
      </x:c>
      <x:c r="G5" s="112"/>
      <x:c r="H5" s="113" t="str">
        <x:f>IF(AND(E5&gt;0,G5&gt;0),E5/G5*1000,"")</x:f>
      </x:c>
      <x:c r="I5" s="114"/>
      <x:c r="J5" s="113" t="str">
        <x:f>IF(AND(H5&gt;0,I5&gt;0),H5*I5,"")</x:f>
      </x:c>
      <x:c r="K5" s="115" t="str">
        <x:f>IF(J5&gt;0,E5/J5,"")</x:f>
      </x:c>
      <x:c r="L5" s="114"/>
      <x:c r="M5" s="113" t="str">
        <x:f>IF(AND(J5&gt;0,L5&gt;0),J5*L5,"")</x:f>
      </x:c>
      <x:c r="N5" s="115" t="str">
        <x:f>IF(M5&gt;0,E5/M5,"")</x:f>
      </x:c>
    </x:row>
    <x:row r="6" ht="22" customHeight="1">
      <x:c r="A6" s="46" t="str">
        <x:v>Google Ads</x:v>
      </x:c>
      <x:c r="B6" s="46" t="str">
        <x:v>Search</x:v>
      </x:c>
      <x:c r="C6" s="46"/>
      <x:c r="D6" s="46"/>
      <x:c r="E6" s="110"/>
      <x:c r="F6" s="111" t="n">
        <x:f>IFERROR(E6/SUM($E$5:$E$16),0)</x:f>
        <x:v>0</x:v>
      </x:c>
      <x:c r="G6" s="112"/>
      <x:c r="H6" s="113" t="str">
        <x:f>IF(AND(E6&gt;0,G6&gt;0),E6/G6*1000,"")</x:f>
      </x:c>
      <x:c r="I6" s="114"/>
      <x:c r="J6" s="113" t="str">
        <x:f>IF(AND(H6&gt;0,I6&gt;0),H6*I6,"")</x:f>
      </x:c>
      <x:c r="K6" s="115" t="str">
        <x:f>IF(J6&gt;0,E6/J6,"")</x:f>
      </x:c>
      <x:c r="L6" s="114"/>
      <x:c r="M6" s="113" t="str">
        <x:f>IF(AND(J6&gt;0,L6&gt;0),J6*L6,"")</x:f>
      </x:c>
      <x:c r="N6" s="115" t="str">
        <x:f>IF(M6&gt;0,E6/M6,"")</x:f>
      </x:c>
    </x:row>
    <x:row r="7" ht="22" customHeight="1">
      <x:c r="A7" s="46" t="str">
        <x:v>Google Ads</x:v>
      </x:c>
      <x:c r="B7" s="46" t="str">
        <x:v>Performance Max</x:v>
      </x:c>
      <x:c r="C7" s="46"/>
      <x:c r="D7" s="46"/>
      <x:c r="E7" s="110"/>
      <x:c r="F7" s="111" t="n">
        <x:f>IFERROR(E7/SUM($E$5:$E$16),0)</x:f>
        <x:v>0</x:v>
      </x:c>
      <x:c r="G7" s="112"/>
      <x:c r="H7" s="113" t="str">
        <x:f>IF(AND(E7&gt;0,G7&gt;0),E7/G7*1000,"")</x:f>
      </x:c>
      <x:c r="I7" s="114"/>
      <x:c r="J7" s="113" t="str">
        <x:f>IF(AND(H7&gt;0,I7&gt;0),H7*I7,"")</x:f>
      </x:c>
      <x:c r="K7" s="115" t="str">
        <x:f>IF(J7&gt;0,E7/J7,"")</x:f>
      </x:c>
      <x:c r="L7" s="114"/>
      <x:c r="M7" s="113" t="str">
        <x:f>IF(AND(J7&gt;0,L7&gt;0),J7*L7,"")</x:f>
      </x:c>
      <x:c r="N7" s="115" t="str">
        <x:f>IF(M7&gt;0,E7/M7,"")</x:f>
      </x:c>
    </x:row>
    <x:row r="8" ht="22" customHeight="1">
      <x:c r="A8" s="46" t="str">
        <x:v>Google Ads</x:v>
      </x:c>
      <x:c r="B8" s="46" t="str">
        <x:v>YouTube</x:v>
      </x:c>
      <x:c r="C8" s="46"/>
      <x:c r="D8" s="46"/>
      <x:c r="E8" s="110"/>
      <x:c r="F8" s="111" t="n">
        <x:f>IFERROR(E8/SUM($E$5:$E$16),0)</x:f>
        <x:v>0</x:v>
      </x:c>
      <x:c r="G8" s="112"/>
      <x:c r="H8" s="113" t="str">
        <x:f>IF(AND(E8&gt;0,G8&gt;0),E8/G8*1000,"")</x:f>
      </x:c>
      <x:c r="I8" s="114"/>
      <x:c r="J8" s="113" t="str">
        <x:f>IF(AND(H8&gt;0,I8&gt;0),H8*I8,"")</x:f>
      </x:c>
      <x:c r="K8" s="115" t="str">
        <x:f>IF(J8&gt;0,E8/J8,"")</x:f>
      </x:c>
      <x:c r="L8" s="114"/>
      <x:c r="M8" s="113" t="str">
        <x:f>IF(AND(J8&gt;0,L8&gt;0),J8*L8,"")</x:f>
      </x:c>
      <x:c r="N8" s="115" t="str">
        <x:f>IF(M8&gt;0,E8/M8,"")</x:f>
      </x:c>
    </x:row>
    <x:row r="9" ht="22" customHeight="1">
      <x:c r="A9" s="46" t="str">
        <x:v>TikTok Ads</x:v>
      </x:c>
      <x:c r="B9" s="46" t="str">
        <x:v>TikTok</x:v>
      </x:c>
      <x:c r="C9" s="46"/>
      <x:c r="D9" s="46"/>
      <x:c r="E9" s="110"/>
      <x:c r="F9" s="111" t="n">
        <x:f>IFERROR(E9/SUM($E$5:$E$16),0)</x:f>
        <x:v>0</x:v>
      </x:c>
      <x:c r="G9" s="112"/>
      <x:c r="H9" s="113" t="str">
        <x:f>IF(AND(E9&gt;0,G9&gt;0),E9/G9*1000,"")</x:f>
      </x:c>
      <x:c r="I9" s="114"/>
      <x:c r="J9" s="113" t="str">
        <x:f>IF(AND(H9&gt;0,I9&gt;0),H9*I9,"")</x:f>
      </x:c>
      <x:c r="K9" s="115" t="str">
        <x:f>IF(J9&gt;0,E9/J9,"")</x:f>
      </x:c>
      <x:c r="L9" s="114"/>
      <x:c r="M9" s="113" t="str">
        <x:f>IF(AND(J9&gt;0,L9&gt;0),J9*L9,"")</x:f>
      </x:c>
      <x:c r="N9" s="115" t="str">
        <x:f>IF(M9&gt;0,E9/M9,"")</x:f>
      </x:c>
    </x:row>
    <x:row r="10" ht="22" customHeight="1">
      <x:c r="A10" s="46" t="str">
        <x:v>LinkedIn Ads</x:v>
      </x:c>
      <x:c r="B10" s="46" t="str">
        <x:v>LinkedIn</x:v>
      </x:c>
      <x:c r="C10" s="46"/>
      <x:c r="D10" s="46"/>
      <x:c r="E10" s="110"/>
      <x:c r="F10" s="111" t="n">
        <x:f>IFERROR(E10/SUM($E$5:$E$16),0)</x:f>
        <x:v>0</x:v>
      </x:c>
      <x:c r="G10" s="112"/>
      <x:c r="H10" s="113" t="str">
        <x:f>IF(AND(E10&gt;0,G10&gt;0),E10/G10*1000,"")</x:f>
      </x:c>
      <x:c r="I10" s="114"/>
      <x:c r="J10" s="113" t="str">
        <x:f>IF(AND(H10&gt;0,I10&gt;0),H10*I10,"")</x:f>
      </x:c>
      <x:c r="K10" s="115" t="str">
        <x:f>IF(J10&gt;0,E10/J10,"")</x:f>
      </x:c>
      <x:c r="L10" s="114"/>
      <x:c r="M10" s="113" t="str">
        <x:f>IF(AND(J10&gt;0,L10&gt;0),J10*L10,"")</x:f>
      </x:c>
      <x:c r="N10" s="115" t="str">
        <x:f>IF(M10&gt;0,E10/M10,"")</x:f>
      </x:c>
    </x:row>
    <x:row r="11" ht="22" customHeight="1">
      <x:c r="A11" s="46" t="str">
        <x:v>WhatsApp</x:v>
      </x:c>
      <x:c r="B11" s="46" t="str">
        <x:v>Push WhatsApp</x:v>
      </x:c>
      <x:c r="C11" s="46"/>
      <x:c r="D11" s="46"/>
      <x:c r="E11" s="110"/>
      <x:c r="F11" s="111" t="n">
        <x:f>IFERROR(E11/SUM($E$5:$E$16),0)</x:f>
        <x:v>0</x:v>
      </x:c>
      <x:c r="G11" s="112"/>
      <x:c r="H11" s="113" t="str">
        <x:f>IF(AND(E11&gt;0,G11&gt;0),E11/G11*1000,"")</x:f>
      </x:c>
      <x:c r="I11" s="114"/>
      <x:c r="J11" s="113" t="str">
        <x:f>IF(AND(H11&gt;0,I11&gt;0),H11*I11,"")</x:f>
      </x:c>
      <x:c r="K11" s="115" t="str">
        <x:f>IF(J11&gt;0,E11/J11,"")</x:f>
      </x:c>
      <x:c r="L11" s="114"/>
      <x:c r="M11" s="113" t="str">
        <x:f>IF(AND(J11&gt;0,L11&gt;0),J11*L11,"")</x:f>
      </x:c>
      <x:c r="N11" s="115" t="str">
        <x:f>IF(M11&gt;0,E11/M11,"")</x:f>
      </x:c>
    </x:row>
    <x:row r="12" ht="22" customHeight="1">
      <x:c r="A12" s="46" t="str">
        <x:v>Programmatic</x:v>
      </x:c>
      <x:c r="B12" s="46" t="str">
        <x:v>Display / Video</x:v>
      </x:c>
      <x:c r="C12" s="46"/>
      <x:c r="D12" s="46"/>
      <x:c r="E12" s="110"/>
      <x:c r="F12" s="111" t="n">
        <x:f>IFERROR(E12/SUM($E$5:$E$16),0)</x:f>
        <x:v>0</x:v>
      </x:c>
      <x:c r="G12" s="112"/>
      <x:c r="H12" s="113" t="str">
        <x:f>IF(AND(E12&gt;0,G12&gt;0),E12/G12*1000,"")</x:f>
      </x:c>
      <x:c r="I12" s="114"/>
      <x:c r="J12" s="113" t="str">
        <x:f>IF(AND(H12&gt;0,I12&gt;0),H12*I12,"")</x:f>
      </x:c>
      <x:c r="K12" s="115" t="str">
        <x:f>IF(J12&gt;0,E12/J12,"")</x:f>
      </x:c>
      <x:c r="L12" s="114"/>
      <x:c r="M12" s="113" t="str">
        <x:f>IF(AND(J12&gt;0,L12&gt;0),J12*L12,"")</x:f>
      </x:c>
      <x:c r="N12" s="115" t="str">
        <x:f>IF(M12&gt;0,E12/M12,"")</x:f>
      </x:c>
    </x:row>
    <x:row r="13" ht="22" customHeight="1">
      <x:c r="A13" s="46" t="str">
        <x:v>Influence</x:v>
      </x:c>
      <x:c r="B13" s="46" t="str">
        <x:v>Créateurs</x:v>
      </x:c>
      <x:c r="C13" s="46"/>
      <x:c r="D13" s="46"/>
      <x:c r="E13" s="110"/>
      <x:c r="F13" s="111" t="n">
        <x:f>IFERROR(E13/SUM($E$5:$E$16),0)</x:f>
        <x:v>0</x:v>
      </x:c>
      <x:c r="G13" s="112"/>
      <x:c r="H13" s="113" t="str">
        <x:f>IF(AND(E13&gt;0,G13&gt;0),E13/G13*1000,"")</x:f>
      </x:c>
      <x:c r="I13" s="114"/>
      <x:c r="J13" s="113" t="str">
        <x:f>IF(AND(H13&gt;0,I13&gt;0),H13*I13,"")</x:f>
      </x:c>
      <x:c r="K13" s="115" t="str">
        <x:f>IF(J13&gt;0,E13/J13,"")</x:f>
      </x:c>
      <x:c r="L13" s="114"/>
      <x:c r="M13" s="113" t="str">
        <x:f>IF(AND(J13&gt;0,L13&gt;0),J13*L13,"")</x:f>
      </x:c>
      <x:c r="N13" s="115" t="str">
        <x:f>IF(M13&gt;0,E13/M13,"")</x:f>
      </x:c>
    </x:row>
    <x:row r="14" ht="22" customHeight="1">
      <x:c r="A14" s="46" t="str">
        <x:v>Emailing / CRM</x:v>
      </x:c>
      <x:c r="B14" s="46" t="str">
        <x:v>Email / CRM</x:v>
      </x:c>
      <x:c r="C14" s="46"/>
      <x:c r="D14" s="46"/>
      <x:c r="E14" s="110"/>
      <x:c r="F14" s="111" t="n">
        <x:f>IFERROR(E14/SUM($E$5:$E$16),0)</x:f>
        <x:v>0</x:v>
      </x:c>
      <x:c r="G14" s="112"/>
      <x:c r="H14" s="113" t="str">
        <x:f>IF(AND(E14&gt;0,G14&gt;0),E14/G14*1000,"")</x:f>
      </x:c>
      <x:c r="I14" s="114"/>
      <x:c r="J14" s="113" t="str">
        <x:f>IF(AND(H14&gt;0,I14&gt;0),H14*I14,"")</x:f>
      </x:c>
      <x:c r="K14" s="115" t="str">
        <x:f>IF(J14&gt;0,E14/J14,"")</x:f>
      </x:c>
      <x:c r="L14" s="114"/>
      <x:c r="M14" s="113" t="str">
        <x:f>IF(AND(J14&gt;0,L14&gt;0),J14*L14,"")</x:f>
      </x:c>
      <x:c r="N14" s="115" t="str">
        <x:f>IF(M14&gt;0,E14/M14,"")</x:f>
      </x:c>
    </x:row>
    <x:row r="15" ht="22" customHeight="1">
      <x:c r="A15" s="46" t="str">
        <x:v>Autres</x:v>
      </x:c>
      <x:c r="B15" s="46" t="str"/>
      <x:c r="C15" s="46"/>
      <x:c r="D15" s="46"/>
      <x:c r="E15" s="110"/>
      <x:c r="F15" s="111" t="n">
        <x:f>IFERROR(E15/SUM($E$5:$E$16),0)</x:f>
        <x:v>0</x:v>
      </x:c>
      <x:c r="G15" s="112"/>
      <x:c r="H15" s="113" t="str">
        <x:f>IF(AND(E15&gt;0,G15&gt;0),E15/G15*1000,"")</x:f>
      </x:c>
      <x:c r="I15" s="114"/>
      <x:c r="J15" s="113" t="str">
        <x:f>IF(AND(H15&gt;0,I15&gt;0),H15*I15,"")</x:f>
      </x:c>
      <x:c r="K15" s="115" t="str">
        <x:f>IF(J15&gt;0,E15/J15,"")</x:f>
      </x:c>
      <x:c r="L15" s="114"/>
      <x:c r="M15" s="113" t="str">
        <x:f>IF(AND(J15&gt;0,L15&gt;0),J15*L15,"")</x:f>
      </x:c>
      <x:c r="N15" s="115" t="str">
        <x:f>IF(M15&gt;0,E15/M15,"")</x:f>
      </x:c>
    </x:row>
    <x:row r="16" ht="22" customHeight="1">
      <x:c r="A16" s="47" t="str">
        <x:v>Autres</x:v>
      </x:c>
      <x:c r="B16" s="47" t="str"/>
      <x:c r="C16" s="47"/>
      <x:c r="D16" s="47"/>
      <x:c r="E16" s="116"/>
      <x:c r="F16" s="117" t="n">
        <x:f>IFERROR(E16/SUM($E$5:$E$16),0)</x:f>
        <x:v>0</x:v>
      </x:c>
      <x:c r="G16" s="118"/>
      <x:c r="H16" s="119" t="str">
        <x:f>IF(AND(E16&gt;0,G16&gt;0),E16/G16*1000,"")</x:f>
      </x:c>
      <x:c r="I16" s="120"/>
      <x:c r="J16" s="119" t="str">
        <x:f>IF(AND(H16&gt;0,I16&gt;0),H16*I16,"")</x:f>
      </x:c>
      <x:c r="K16" s="121" t="str">
        <x:f>IF(J16&gt;0,E16/J16,"")</x:f>
      </x:c>
      <x:c r="L16" s="120"/>
      <x:c r="M16" s="119" t="str">
        <x:f>IF(AND(J16&gt;0,L16&gt;0),J16*L16,"")</x:f>
      </x:c>
      <x:c r="N16" s="121" t="str">
        <x:f>IF(M16&gt;0,E16/M16,"")</x:f>
      </x:c>
    </x:row>
    <x:row r="17" ht="22" customHeight="1">
      <x:c r="A17" s="122"/>
      <x:c r="B17" s="122"/>
      <x:c r="C17" s="122"/>
      <x:c r="D17" s="122"/>
      <x:c r="E17" s="123"/>
      <x:c r="F17" s="124"/>
      <x:c r="G17" s="125"/>
      <x:c r="H17" s="126"/>
      <x:c r="I17" s="127"/>
      <x:c r="J17" s="126"/>
      <x:c r="K17" s="125"/>
      <x:c r="L17" s="127"/>
      <x:c r="M17" s="126"/>
      <x:c r="N17" s="125"/>
    </x:row>
    <x:row r="18" ht="22" customHeight="1">
      <x:c r="A18" s="30" t="str">
        <x:v>TOTAL / MOYENNE PONDÉRÉE</x:v>
      </x:c>
      <x:c r="B18" s="30"/>
      <x:c r="C18" s="30"/>
      <x:c r="D18" s="30"/>
      <x:c r="E18" s="70" t="n">
        <x:f>SUM(E5:E16)</x:f>
        <x:v>0</x:v>
      </x:c>
      <x:c r="F18" s="77" t="n">
        <x:f>SUM(F5:F16)</x:f>
        <x:v>0</x:v>
      </x:c>
      <x:c r="G18" s="85" t="str">
        <x:f>IF(H18&gt;0,E18/H18*1000,"")</x:f>
      </x:c>
      <x:c r="H18" s="93" t="n">
        <x:f>SUM(H5:H16)</x:f>
        <x:v>0</x:v>
      </x:c>
      <x:c r="I18" s="101" t="str">
        <x:f>IF(H18&gt;0,J18/H18,"")</x:f>
      </x:c>
      <x:c r="J18" s="93" t="n">
        <x:f>SUM(J5:J16)</x:f>
        <x:v>0</x:v>
      </x:c>
      <x:c r="K18" s="85" t="str">
        <x:f>IF(J18&gt;0,E18/J18,"")</x:f>
      </x:c>
      <x:c r="L18" s="101" t="str">
        <x:f>IF(J18&gt;0,M18/J18,"")</x:f>
      </x:c>
      <x:c r="M18" s="93" t="n">
        <x:f>SUM(M5:M16)</x:f>
        <x:v>0</x:v>
      </x:c>
      <x:c r="N18" s="85" t="str">
        <x:f>IF(M18&gt;0,E18/M18,"")</x:f>
      </x:c>
    </x:row>
  </x:sheetData>
  <x:mergeCells>
    <x:mergeCell ref="A1:N2"/>
    <x:mergeCell ref="A18:D18"/>
  </x:mergeCells>
  <x:dataValidations count="24">
    <x:dataValidation type="list" sqref="C5">
      <x:formula1>"Notoriété,Trafic,Leads,Conversions,Drive-to-store,Engagement,Ventes,Inscription,Téléchargement,Appels / RDV,Autre"</x:formula1>
    </x:dataValidation>
    <x:dataValidation type="list" sqref="A5">
      <x:formula1>"Meta Ads,Google Ads,TikTok Ads,LinkedIn Ads,WhatsApp,Programmatic,Influence,Emailing / CRM,Autres"</x:formula1>
    </x:dataValidation>
    <x:dataValidation type="list" sqref="C6">
      <x:formula1>"Notoriété,Trafic,Leads,Conversions,Drive-to-store,Engagement,Ventes,Inscription,Téléchargement,Appels / RDV,Autre"</x:formula1>
    </x:dataValidation>
    <x:dataValidation type="list" sqref="A6">
      <x:formula1>"Meta Ads,Google Ads,TikTok Ads,LinkedIn Ads,WhatsApp,Programmatic,Influence,Emailing / CRM,Autres"</x:formula1>
    </x:dataValidation>
    <x:dataValidation type="list" sqref="C7">
      <x:formula1>"Notoriété,Trafic,Leads,Conversions,Drive-to-store,Engagement,Ventes,Inscription,Téléchargement,Appels / RDV,Autre"</x:formula1>
    </x:dataValidation>
    <x:dataValidation type="list" sqref="A7">
      <x:formula1>"Meta Ads,Google Ads,TikTok Ads,LinkedIn Ads,WhatsApp,Programmatic,Influence,Emailing / CRM,Autres"</x:formula1>
    </x:dataValidation>
    <x:dataValidation type="list" sqref="C8">
      <x:formula1>"Notoriété,Trafic,Leads,Conversions,Drive-to-store,Engagement,Ventes,Inscription,Téléchargement,Appels / RDV,Autre"</x:formula1>
    </x:dataValidation>
    <x:dataValidation type="list" sqref="A8">
      <x:formula1>"Meta Ads,Google Ads,TikTok Ads,LinkedIn Ads,WhatsApp,Programmatic,Influence,Emailing / CRM,Autres"</x:formula1>
    </x:dataValidation>
    <x:dataValidation type="list" sqref="C9">
      <x:formula1>"Notoriété,Trafic,Leads,Conversions,Drive-to-store,Engagement,Ventes,Inscription,Téléchargement,Appels / RDV,Autre"</x:formula1>
    </x:dataValidation>
    <x:dataValidation type="list" sqref="A9">
      <x:formula1>"Meta Ads,Google Ads,TikTok Ads,LinkedIn Ads,WhatsApp,Programmatic,Influence,Emailing / CRM,Autres"</x:formula1>
    </x:dataValidation>
    <x:dataValidation type="list" sqref="C10">
      <x:formula1>"Notoriété,Trafic,Leads,Conversions,Drive-to-store,Engagement,Ventes,Inscription,Téléchargement,Appels / RDV,Autre"</x:formula1>
    </x:dataValidation>
    <x:dataValidation type="list" sqref="A10">
      <x:formula1>"Meta Ads,Google Ads,TikTok Ads,LinkedIn Ads,WhatsApp,Programmatic,Influence,Emailing / CRM,Autres"</x:formula1>
    </x:dataValidation>
    <x:dataValidation type="list" sqref="C11">
      <x:formula1>"Notoriété,Trafic,Leads,Conversions,Drive-to-store,Engagement,Ventes,Inscription,Téléchargement,Appels / RDV,Autre"</x:formula1>
    </x:dataValidation>
    <x:dataValidation type="list" sqref="A11">
      <x:formula1>"Meta Ads,Google Ads,TikTok Ads,LinkedIn Ads,WhatsApp,Programmatic,Influence,Emailing / CRM,Autres"</x:formula1>
    </x:dataValidation>
    <x:dataValidation type="list" sqref="C12">
      <x:formula1>"Notoriété,Trafic,Leads,Conversions,Drive-to-store,Engagement,Ventes,Inscription,Téléchargement,Appels / RDV,Autre"</x:formula1>
    </x:dataValidation>
    <x:dataValidation type="list" sqref="A12">
      <x:formula1>"Meta Ads,Google Ads,TikTok Ads,LinkedIn Ads,WhatsApp,Programmatic,Influence,Emailing / CRM,Autres"</x:formula1>
    </x:dataValidation>
    <x:dataValidation type="list" sqref="C13">
      <x:formula1>"Notoriété,Trafic,Leads,Conversions,Drive-to-store,Engagement,Ventes,Inscription,Téléchargement,Appels / RDV,Autre"</x:formula1>
    </x:dataValidation>
    <x:dataValidation type="list" sqref="A13">
      <x:formula1>"Meta Ads,Google Ads,TikTok Ads,LinkedIn Ads,WhatsApp,Programmatic,Influence,Emailing / CRM,Autres"</x:formula1>
    </x:dataValidation>
    <x:dataValidation type="list" sqref="C14">
      <x:formula1>"Notoriété,Trafic,Leads,Conversions,Drive-to-store,Engagement,Ventes,Inscription,Téléchargement,Appels / RDV,Autre"</x:formula1>
    </x:dataValidation>
    <x:dataValidation type="list" sqref="A14">
      <x:formula1>"Meta Ads,Google Ads,TikTok Ads,LinkedIn Ads,WhatsApp,Programmatic,Influence,Emailing / CRM,Autres"</x:formula1>
    </x:dataValidation>
    <x:dataValidation type="list" sqref="C15">
      <x:formula1>"Notoriété,Trafic,Leads,Conversions,Drive-to-store,Engagement,Ventes,Inscription,Téléchargement,Appels / RDV,Autre"</x:formula1>
    </x:dataValidation>
    <x:dataValidation type="list" sqref="A15">
      <x:formula1>"Meta Ads,Google Ads,TikTok Ads,LinkedIn Ads,WhatsApp,Programmatic,Influence,Emailing / CRM,Autres"</x:formula1>
    </x:dataValidation>
    <x:dataValidation type="list" sqref="C16">
      <x:formula1>"Notoriété,Trafic,Leads,Conversions,Drive-to-store,Engagement,Ventes,Inscription,Téléchargement,Appels / RDV,Autre"</x:formula1>
    </x:dataValidation>
    <x:dataValidation type="list" sqref="A16">
      <x:formula1>"Meta Ads,Google Ads,TikTok Ads,LinkedIn Ads,WhatsApp,Programmatic,Influence,Emailing / CRM,Autres"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</x:cols>
  <x:sheetData>
    <x:row r="1">
      <x:c r="A1" s="14" t="str">
        <x:v>SYNTHÈSE PRÉVISIONNELLE PAR CANAL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4" ht="22" customHeight="1">
      <x:c r="A4" s="6" t="str">
        <x:v>Canal</x:v>
      </x:c>
      <x:c r="B4" s="6" t="str">
        <x:v>Budget prévu</x:v>
      </x:c>
      <x:c r="C4" s="6" t="str">
        <x:v>Impressions</x:v>
      </x:c>
      <x:c r="D4" s="6" t="str">
        <x:v>Clics</x:v>
      </x:c>
      <x:c r="E4" s="6" t="str">
        <x:v>Leads / conv.</x:v>
      </x:c>
      <x:c r="F4" s="6" t="str">
        <x:v>CPM</x:v>
      </x:c>
      <x:c r="G4" s="6" t="str">
        <x:v>CPC</x:v>
      </x:c>
      <x:c r="H4" s="6" t="str">
        <x:v>CTR</x:v>
      </x:c>
      <x:c r="I4" s="6" t="str">
        <x:v>CPL / CPA</x:v>
      </x:c>
    </x:row>
    <x:row r="5" ht="22" customHeight="1">
      <x:c r="A5" s="63" t="str">
        <x:v>Meta Ads</x:v>
      </x:c>
      <x:c r="B5" s="146" t="n">
        <x:f>SUMIF('Plan Média'!$A$5:$A$16,A5,'Plan Média'!$E$5:$E$16)</x:f>
        <x:v>0</x:v>
      </x:c>
      <x:c r="C5" s="90" t="n">
        <x:f>SUMIF('Plan Média'!$A$5:$A$16,A5,'Plan Média'!$H$5:$H$16)</x:f>
        <x:v>0</x:v>
      </x:c>
      <x:c r="D5" s="90" t="n">
        <x:f>SUMIF('Plan Média'!$A$5:$A$16,A5,'Plan Média'!$J$5:$J$16)</x:f>
        <x:v>0</x:v>
      </x:c>
      <x:c r="E5" s="90" t="n">
        <x:f>SUMIF('Plan Média'!$A$5:$A$16,A5,'Plan Média'!$M$5:$M$16)</x:f>
        <x:v>0</x:v>
      </x:c>
      <x:c r="F5" s="106" t="str">
        <x:f>IF(C5&gt;0,B5/C5*1000,"")</x:f>
      </x:c>
      <x:c r="G5" s="106" t="str">
        <x:f>IF(D5&gt;0,B5/D5,"")</x:f>
      </x:c>
      <x:c r="H5" s="150" t="str">
        <x:f>IF(C5&gt;0,D5/C5,"")</x:f>
      </x:c>
      <x:c r="I5" s="106" t="str">
        <x:f>IF(E5&gt;0,B5/E5,"")</x:f>
      </x:c>
    </x:row>
    <x:row r="6" ht="22" customHeight="1">
      <x:c r="A6" s="63" t="str">
        <x:v>Google Ads</x:v>
      </x:c>
      <x:c r="B6" s="146" t="n">
        <x:f>SUMIF('Plan Média'!$A$5:$A$16,A6,'Plan Média'!$E$5:$E$16)</x:f>
        <x:v>0</x:v>
      </x:c>
      <x:c r="C6" s="90" t="n">
        <x:f>SUMIF('Plan Média'!$A$5:$A$16,A6,'Plan Média'!$H$5:$H$16)</x:f>
        <x:v>0</x:v>
      </x:c>
      <x:c r="D6" s="90" t="n">
        <x:f>SUMIF('Plan Média'!$A$5:$A$16,A6,'Plan Média'!$J$5:$J$16)</x:f>
        <x:v>0</x:v>
      </x:c>
      <x:c r="E6" s="90" t="n">
        <x:f>SUMIF('Plan Média'!$A$5:$A$16,A6,'Plan Média'!$M$5:$M$16)</x:f>
        <x:v>0</x:v>
      </x:c>
      <x:c r="F6" s="106" t="str">
        <x:f>IF(C6&gt;0,B6/C6*1000,"")</x:f>
      </x:c>
      <x:c r="G6" s="106" t="str">
        <x:f>IF(D6&gt;0,B6/D6,"")</x:f>
      </x:c>
      <x:c r="H6" s="150" t="str">
        <x:f>IF(C6&gt;0,D6/C6,"")</x:f>
      </x:c>
      <x:c r="I6" s="106" t="str">
        <x:f>IF(E6&gt;0,B6/E6,"")</x:f>
      </x:c>
    </x:row>
    <x:row r="7" ht="22" customHeight="1">
      <x:c r="A7" s="63" t="str">
        <x:v>TikTok Ads</x:v>
      </x:c>
      <x:c r="B7" s="146" t="n">
        <x:f>SUMIF('Plan Média'!$A$5:$A$16,A7,'Plan Média'!$E$5:$E$16)</x:f>
        <x:v>0</x:v>
      </x:c>
      <x:c r="C7" s="90" t="n">
        <x:f>SUMIF('Plan Média'!$A$5:$A$16,A7,'Plan Média'!$H$5:$H$16)</x:f>
        <x:v>0</x:v>
      </x:c>
      <x:c r="D7" s="90" t="n">
        <x:f>SUMIF('Plan Média'!$A$5:$A$16,A7,'Plan Média'!$J$5:$J$16)</x:f>
        <x:v>0</x:v>
      </x:c>
      <x:c r="E7" s="90" t="n">
        <x:f>SUMIF('Plan Média'!$A$5:$A$16,A7,'Plan Média'!$M$5:$M$16)</x:f>
        <x:v>0</x:v>
      </x:c>
      <x:c r="F7" s="106" t="str">
        <x:f>IF(C7&gt;0,B7/C7*1000,"")</x:f>
      </x:c>
      <x:c r="G7" s="106" t="str">
        <x:f>IF(D7&gt;0,B7/D7,"")</x:f>
      </x:c>
      <x:c r="H7" s="150" t="str">
        <x:f>IF(C7&gt;0,D7/C7,"")</x:f>
      </x:c>
      <x:c r="I7" s="106" t="str">
        <x:f>IF(E7&gt;0,B7/E7,"")</x:f>
      </x:c>
    </x:row>
    <x:row r="8" ht="22" customHeight="1">
      <x:c r="A8" s="63" t="str">
        <x:v>LinkedIn Ads</x:v>
      </x:c>
      <x:c r="B8" s="146" t="n">
        <x:f>SUMIF('Plan Média'!$A$5:$A$16,A8,'Plan Média'!$E$5:$E$16)</x:f>
        <x:v>0</x:v>
      </x:c>
      <x:c r="C8" s="90" t="n">
        <x:f>SUMIF('Plan Média'!$A$5:$A$16,A8,'Plan Média'!$H$5:$H$16)</x:f>
        <x:v>0</x:v>
      </x:c>
      <x:c r="D8" s="90" t="n">
        <x:f>SUMIF('Plan Média'!$A$5:$A$16,A8,'Plan Média'!$J$5:$J$16)</x:f>
        <x:v>0</x:v>
      </x:c>
      <x:c r="E8" s="90" t="n">
        <x:f>SUMIF('Plan Média'!$A$5:$A$16,A8,'Plan Média'!$M$5:$M$16)</x:f>
        <x:v>0</x:v>
      </x:c>
      <x:c r="F8" s="106" t="str">
        <x:f>IF(C8&gt;0,B8/C8*1000,"")</x:f>
      </x:c>
      <x:c r="G8" s="106" t="str">
        <x:f>IF(D8&gt;0,B8/D8,"")</x:f>
      </x:c>
      <x:c r="H8" s="150" t="str">
        <x:f>IF(C8&gt;0,D8/C8,"")</x:f>
      </x:c>
      <x:c r="I8" s="106" t="str">
        <x:f>IF(E8&gt;0,B8/E8,"")</x:f>
      </x:c>
    </x:row>
    <x:row r="9" ht="22" customHeight="1">
      <x:c r="A9" s="63" t="str">
        <x:v>WhatsApp</x:v>
      </x:c>
      <x:c r="B9" s="146" t="n">
        <x:f>SUMIF('Plan Média'!$A$5:$A$16,A9,'Plan Média'!$E$5:$E$16)</x:f>
        <x:v>0</x:v>
      </x:c>
      <x:c r="C9" s="90" t="n">
        <x:f>SUMIF('Plan Média'!$A$5:$A$16,A9,'Plan Média'!$H$5:$H$16)</x:f>
        <x:v>0</x:v>
      </x:c>
      <x:c r="D9" s="90" t="n">
        <x:f>SUMIF('Plan Média'!$A$5:$A$16,A9,'Plan Média'!$J$5:$J$16)</x:f>
        <x:v>0</x:v>
      </x:c>
      <x:c r="E9" s="90" t="n">
        <x:f>SUMIF('Plan Média'!$A$5:$A$16,A9,'Plan Média'!$M$5:$M$16)</x:f>
        <x:v>0</x:v>
      </x:c>
      <x:c r="F9" s="106" t="str">
        <x:f>IF(C9&gt;0,B9/C9*1000,"")</x:f>
      </x:c>
      <x:c r="G9" s="106" t="str">
        <x:f>IF(D9&gt;0,B9/D9,"")</x:f>
      </x:c>
      <x:c r="H9" s="150" t="str">
        <x:f>IF(C9&gt;0,D9/C9,"")</x:f>
      </x:c>
      <x:c r="I9" s="106" t="str">
        <x:f>IF(E9&gt;0,B9/E9,"")</x:f>
      </x:c>
    </x:row>
    <x:row r="10" ht="22" customHeight="1">
      <x:c r="A10" s="63" t="str">
        <x:v>Programmatic</x:v>
      </x:c>
      <x:c r="B10" s="146" t="n">
        <x:f>SUMIF('Plan Média'!$A$5:$A$16,A10,'Plan Média'!$E$5:$E$16)</x:f>
        <x:v>0</x:v>
      </x:c>
      <x:c r="C10" s="90" t="n">
        <x:f>SUMIF('Plan Média'!$A$5:$A$16,A10,'Plan Média'!$H$5:$H$16)</x:f>
        <x:v>0</x:v>
      </x:c>
      <x:c r="D10" s="90" t="n">
        <x:f>SUMIF('Plan Média'!$A$5:$A$16,A10,'Plan Média'!$J$5:$J$16)</x:f>
        <x:v>0</x:v>
      </x:c>
      <x:c r="E10" s="90" t="n">
        <x:f>SUMIF('Plan Média'!$A$5:$A$16,A10,'Plan Média'!$M$5:$M$16)</x:f>
        <x:v>0</x:v>
      </x:c>
      <x:c r="F10" s="106" t="str">
        <x:f>IF(C10&gt;0,B10/C10*1000,"")</x:f>
      </x:c>
      <x:c r="G10" s="106" t="str">
        <x:f>IF(D10&gt;0,B10/D10,"")</x:f>
      </x:c>
      <x:c r="H10" s="150" t="str">
        <x:f>IF(C10&gt;0,D10/C10,"")</x:f>
      </x:c>
      <x:c r="I10" s="106" t="str">
        <x:f>IF(E10&gt;0,B10/E10,"")</x:f>
      </x:c>
    </x:row>
    <x:row r="11" ht="22" customHeight="1">
      <x:c r="A11" s="63" t="str">
        <x:v>Influence</x:v>
      </x:c>
      <x:c r="B11" s="146" t="n">
        <x:f>SUMIF('Plan Média'!$A$5:$A$16,A11,'Plan Média'!$E$5:$E$16)</x:f>
        <x:v>0</x:v>
      </x:c>
      <x:c r="C11" s="90" t="n">
        <x:f>SUMIF('Plan Média'!$A$5:$A$16,A11,'Plan Média'!$H$5:$H$16)</x:f>
        <x:v>0</x:v>
      </x:c>
      <x:c r="D11" s="90" t="n">
        <x:f>SUMIF('Plan Média'!$A$5:$A$16,A11,'Plan Média'!$J$5:$J$16)</x:f>
        <x:v>0</x:v>
      </x:c>
      <x:c r="E11" s="90" t="n">
        <x:f>SUMIF('Plan Média'!$A$5:$A$16,A11,'Plan Média'!$M$5:$M$16)</x:f>
        <x:v>0</x:v>
      </x:c>
      <x:c r="F11" s="106" t="str">
        <x:f>IF(C11&gt;0,B11/C11*1000,"")</x:f>
      </x:c>
      <x:c r="G11" s="106" t="str">
        <x:f>IF(D11&gt;0,B11/D11,"")</x:f>
      </x:c>
      <x:c r="H11" s="150" t="str">
        <x:f>IF(C11&gt;0,D11/C11,"")</x:f>
      </x:c>
      <x:c r="I11" s="106" t="str">
        <x:f>IF(E11&gt;0,B11/E11,"")</x:f>
      </x:c>
    </x:row>
    <x:row r="12" ht="22" customHeight="1">
      <x:c r="A12" s="63" t="str">
        <x:v>Emailing / CRM</x:v>
      </x:c>
      <x:c r="B12" s="146" t="n">
        <x:f>SUMIF('Plan Média'!$A$5:$A$16,A12,'Plan Média'!$E$5:$E$16)</x:f>
        <x:v>0</x:v>
      </x:c>
      <x:c r="C12" s="90" t="n">
        <x:f>SUMIF('Plan Média'!$A$5:$A$16,A12,'Plan Média'!$H$5:$H$16)</x:f>
        <x:v>0</x:v>
      </x:c>
      <x:c r="D12" s="90" t="n">
        <x:f>SUMIF('Plan Média'!$A$5:$A$16,A12,'Plan Média'!$J$5:$J$16)</x:f>
        <x:v>0</x:v>
      </x:c>
      <x:c r="E12" s="90" t="n">
        <x:f>SUMIF('Plan Média'!$A$5:$A$16,A12,'Plan Média'!$M$5:$M$16)</x:f>
        <x:v>0</x:v>
      </x:c>
      <x:c r="F12" s="106" t="str">
        <x:f>IF(C12&gt;0,B12/C12*1000,"")</x:f>
      </x:c>
      <x:c r="G12" s="106" t="str">
        <x:f>IF(D12&gt;0,B12/D12,"")</x:f>
      </x:c>
      <x:c r="H12" s="150" t="str">
        <x:f>IF(C12&gt;0,D12/C12,"")</x:f>
      </x:c>
      <x:c r="I12" s="106" t="str">
        <x:f>IF(E12&gt;0,B12/E12,"")</x:f>
      </x:c>
    </x:row>
    <x:row r="13" ht="22" customHeight="1">
      <x:c r="A13" s="64" t="str">
        <x:v>Autres</x:v>
      </x:c>
      <x:c r="B13" s="147" t="n">
        <x:f>SUMIF('Plan Média'!$A$5:$A$16,A13,'Plan Média'!$E$5:$E$16)</x:f>
        <x:v>0</x:v>
      </x:c>
      <x:c r="C13" s="91" t="n">
        <x:f>SUMIF('Plan Média'!$A$5:$A$16,A13,'Plan Média'!$H$5:$H$16)</x:f>
        <x:v>0</x:v>
      </x:c>
      <x:c r="D13" s="91" t="n">
        <x:f>SUMIF('Plan Média'!$A$5:$A$16,A13,'Plan Média'!$J$5:$J$16)</x:f>
        <x:v>0</x:v>
      </x:c>
      <x:c r="E13" s="91" t="n">
        <x:f>SUMIF('Plan Média'!$A$5:$A$16,A13,'Plan Média'!$M$5:$M$16)</x:f>
        <x:v>0</x:v>
      </x:c>
      <x:c r="F13" s="107" t="str">
        <x:f>IF(C13&gt;0,B13/C13*1000,"")</x:f>
      </x:c>
      <x:c r="G13" s="107" t="str">
        <x:f>IF(D13&gt;0,B13/D13,"")</x:f>
      </x:c>
      <x:c r="H13" s="151" t="str">
        <x:f>IF(C13&gt;0,D13/C13,"")</x:f>
      </x:c>
      <x:c r="I13" s="107" t="str">
        <x:f>IF(E13&gt;0,B13/E13,"")</x:f>
      </x:c>
    </x:row>
    <x:row r="14" ht="22" customHeight="1">
      <x:c r="B14" s="69"/>
      <x:c r="C14" s="92"/>
      <x:c r="D14" s="92"/>
      <x:c r="E14" s="92"/>
      <x:c r="F14" s="84"/>
      <x:c r="G14" s="84"/>
      <x:c r="H14" s="100"/>
      <x:c r="I14" s="84"/>
    </x:row>
    <x:row r="15" ht="22" customHeight="1">
      <x:c r="A15" s="30" t="str">
        <x:v>TOTAL</x:v>
      </x:c>
      <x:c r="B15" s="70" t="n">
        <x:f>SUM(B5:B13)</x:f>
        <x:v>0</x:v>
      </x:c>
      <x:c r="C15" s="93" t="n">
        <x:f>SUM(C5:C13)</x:f>
        <x:v>0</x:v>
      </x:c>
      <x:c r="D15" s="93" t="n">
        <x:f>SUM(D5:D13)</x:f>
        <x:v>0</x:v>
      </x:c>
      <x:c r="E15" s="93" t="n">
        <x:f>SUM(E5:E13)</x:f>
        <x:v>0</x:v>
      </x:c>
      <x:c r="F15" s="85" t="str">
        <x:f>IF(C15&gt;0,B15/C15*1000,"")</x:f>
      </x:c>
      <x:c r="G15" s="85" t="str">
        <x:f>IF(D15&gt;0,B15/D15,"")</x:f>
      </x:c>
      <x:c r="H15" s="101" t="str">
        <x:f>IF(C15&gt;0,D15/C15,"")</x:f>
      </x:c>
      <x:c r="I15" s="85" t="str">
        <x:f>IF(E15&gt;0,B15/E15,"")</x:f>
      </x:c>
    </x:row>
  </x:sheetData>
  <x:mergeCells>
    <x:mergeCell ref="A1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6" hidden="0" customWidth="1"/>
    <x:col min="4" max="4" width="16" hidden="0" customWidth="1"/>
    <x:col min="5" max="5" width="13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  <x:col min="15" max="15" width="28" hidden="0" customWidth="1"/>
  </x:cols>
  <x:sheetData>
    <x:row r="1">
      <x:c r="A1" s="14" t="str">
        <x:v>RÉSULTATS RÉELS — FORECAST VS RÉALISÉ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4" ht="22" customHeight="1">
      <x:c r="A4" s="6" t="str">
        <x:v>Canal</x:v>
      </x:c>
      <x:c r="B4" s="6" t="str">
        <x:v>Sous-canal</x:v>
      </x:c>
      <x:c r="C4" s="6" t="str">
        <x:v>Budget prévu</x:v>
      </x:c>
      <x:c r="D4" s="6" t="str">
        <x:v>Budget réel</x:v>
      </x:c>
      <x:c r="E4" s="6" t="str">
        <x:v>Var. budget</x:v>
      </x:c>
      <x:c r="F4" s="6" t="str">
        <x:v>Impressions</x:v>
      </x:c>
      <x:c r="G4" s="6" t="str">
        <x:v>CPM réel</x:v>
      </x:c>
      <x:c r="H4" s="6" t="str">
        <x:v>Clics</x:v>
      </x:c>
      <x:c r="I4" s="6" t="str">
        <x:v>CTR réel</x:v>
      </x:c>
      <x:c r="J4" s="6" t="str">
        <x:v>CPC réel</x:v>
      </x:c>
      <x:c r="K4" s="6" t="str">
        <x:v>Leads / conv.</x:v>
      </x:c>
      <x:c r="L4" s="6" t="str">
        <x:v>CPL / CPA réel</x:v>
      </x:c>
      <x:c r="M4" s="6" t="str">
        <x:v>CA attribué</x:v>
      </x:c>
      <x:c r="N4" s="6" t="str">
        <x:v>ROAS</x:v>
      </x:c>
      <x:c r="O4" s="6" t="str">
        <x:v>Commentaires</x:v>
      </x:c>
    </x:row>
    <x:row r="5" ht="22" customHeight="1">
      <x:c r="A5" s="63" t="str">
        <x:f>'Plan Média'!A5</x:f>
        <x:v>Meta Ads</x:v>
      </x:c>
      <x:c r="B5" s="63" t="str">
        <x:f>'Plan Média'!B5</x:f>
        <x:v>Facebook / Instagram</x:v>
      </x:c>
      <x:c r="C5" s="146" t="n">
        <x:f>'Plan Média'!E5</x:f>
        <x:v>0</x:v>
      </x:c>
      <x:c r="D5" s="54"/>
      <x:c r="E5" s="74" t="str">
        <x:f>IF(C5&gt;0,(D5-C5)/C5,"")</x:f>
      </x:c>
      <x:c r="F5" s="154"/>
      <x:c r="G5" s="106" t="str">
        <x:f>IF(F5&gt;0,D5/F5*1000,"")</x:f>
      </x:c>
      <x:c r="H5" s="154"/>
      <x:c r="I5" s="150" t="str">
        <x:f>IF(F5&gt;0,H5/F5,"")</x:f>
      </x:c>
      <x:c r="J5" s="106" t="str">
        <x:f>IF(H5&gt;0,D5/H5,"")</x:f>
      </x:c>
      <x:c r="K5" s="154"/>
      <x:c r="L5" s="106" t="str">
        <x:f>IF(K5&gt;0,D5/K5,"")</x:f>
      </x:c>
      <x:c r="M5" s="54"/>
      <x:c r="N5" s="158" t="str">
        <x:f>IF(D5&gt;0,M5/D5,"")</x:f>
      </x:c>
      <x:c r="O5" s="37"/>
    </x:row>
    <x:row r="6" ht="22" customHeight="1">
      <x:c r="A6" s="63" t="str">
        <x:f>'Plan Média'!A6</x:f>
        <x:v>Google Ads</x:v>
      </x:c>
      <x:c r="B6" s="63" t="str">
        <x:f>'Plan Média'!B6</x:f>
        <x:v>Search</x:v>
      </x:c>
      <x:c r="C6" s="146" t="n">
        <x:f>'Plan Média'!E6</x:f>
        <x:v>0</x:v>
      </x:c>
      <x:c r="D6" s="54"/>
      <x:c r="E6" s="74" t="str">
        <x:f>IF(C6&gt;0,(D6-C6)/C6,"")</x:f>
      </x:c>
      <x:c r="F6" s="154"/>
      <x:c r="G6" s="106" t="str">
        <x:f>IF(F6&gt;0,D6/F6*1000,"")</x:f>
      </x:c>
      <x:c r="H6" s="154"/>
      <x:c r="I6" s="150" t="str">
        <x:f>IF(F6&gt;0,H6/F6,"")</x:f>
      </x:c>
      <x:c r="J6" s="106" t="str">
        <x:f>IF(H6&gt;0,D6/H6,"")</x:f>
      </x:c>
      <x:c r="K6" s="154"/>
      <x:c r="L6" s="106" t="str">
        <x:f>IF(K6&gt;0,D6/K6,"")</x:f>
      </x:c>
      <x:c r="M6" s="54"/>
      <x:c r="N6" s="158" t="str">
        <x:f>IF(D6&gt;0,M6/D6,"")</x:f>
      </x:c>
      <x:c r="O6" s="37"/>
    </x:row>
    <x:row r="7" ht="22" customHeight="1">
      <x:c r="A7" s="63" t="str">
        <x:f>'Plan Média'!A7</x:f>
        <x:v>Google Ads</x:v>
      </x:c>
      <x:c r="B7" s="63" t="str">
        <x:f>'Plan Média'!B7</x:f>
        <x:v>Performance Max</x:v>
      </x:c>
      <x:c r="C7" s="146" t="n">
        <x:f>'Plan Média'!E7</x:f>
        <x:v>0</x:v>
      </x:c>
      <x:c r="D7" s="54"/>
      <x:c r="E7" s="74" t="str">
        <x:f>IF(C7&gt;0,(D7-C7)/C7,"")</x:f>
      </x:c>
      <x:c r="F7" s="154"/>
      <x:c r="G7" s="106" t="str">
        <x:f>IF(F7&gt;0,D7/F7*1000,"")</x:f>
      </x:c>
      <x:c r="H7" s="154"/>
      <x:c r="I7" s="150" t="str">
        <x:f>IF(F7&gt;0,H7/F7,"")</x:f>
      </x:c>
      <x:c r="J7" s="106" t="str">
        <x:f>IF(H7&gt;0,D7/H7,"")</x:f>
      </x:c>
      <x:c r="K7" s="154"/>
      <x:c r="L7" s="106" t="str">
        <x:f>IF(K7&gt;0,D7/K7,"")</x:f>
      </x:c>
      <x:c r="M7" s="54"/>
      <x:c r="N7" s="158" t="str">
        <x:f>IF(D7&gt;0,M7/D7,"")</x:f>
      </x:c>
      <x:c r="O7" s="37"/>
    </x:row>
    <x:row r="8" ht="22" customHeight="1">
      <x:c r="A8" s="63" t="str">
        <x:f>'Plan Média'!A8</x:f>
        <x:v>Google Ads</x:v>
      </x:c>
      <x:c r="B8" s="63" t="str">
        <x:f>'Plan Média'!B8</x:f>
        <x:v>YouTube</x:v>
      </x:c>
      <x:c r="C8" s="146" t="n">
        <x:f>'Plan Média'!E8</x:f>
        <x:v>0</x:v>
      </x:c>
      <x:c r="D8" s="54"/>
      <x:c r="E8" s="74" t="str">
        <x:f>IF(C8&gt;0,(D8-C8)/C8,"")</x:f>
      </x:c>
      <x:c r="F8" s="154"/>
      <x:c r="G8" s="106" t="str">
        <x:f>IF(F8&gt;0,D8/F8*1000,"")</x:f>
      </x:c>
      <x:c r="H8" s="154"/>
      <x:c r="I8" s="150" t="str">
        <x:f>IF(F8&gt;0,H8/F8,"")</x:f>
      </x:c>
      <x:c r="J8" s="106" t="str">
        <x:f>IF(H8&gt;0,D8/H8,"")</x:f>
      </x:c>
      <x:c r="K8" s="154"/>
      <x:c r="L8" s="106" t="str">
        <x:f>IF(K8&gt;0,D8/K8,"")</x:f>
      </x:c>
      <x:c r="M8" s="54"/>
      <x:c r="N8" s="158" t="str">
        <x:f>IF(D8&gt;0,M8/D8,"")</x:f>
      </x:c>
      <x:c r="O8" s="37"/>
    </x:row>
    <x:row r="9" ht="22" customHeight="1">
      <x:c r="A9" s="63" t="str">
        <x:f>'Plan Média'!A9</x:f>
        <x:v>TikTok Ads</x:v>
      </x:c>
      <x:c r="B9" s="63" t="str">
        <x:f>'Plan Média'!B9</x:f>
        <x:v>TikTok</x:v>
      </x:c>
      <x:c r="C9" s="146" t="n">
        <x:f>'Plan Média'!E9</x:f>
        <x:v>0</x:v>
      </x:c>
      <x:c r="D9" s="54"/>
      <x:c r="E9" s="74" t="str">
        <x:f>IF(C9&gt;0,(D9-C9)/C9,"")</x:f>
      </x:c>
      <x:c r="F9" s="154"/>
      <x:c r="G9" s="106" t="str">
        <x:f>IF(F9&gt;0,D9/F9*1000,"")</x:f>
      </x:c>
      <x:c r="H9" s="154"/>
      <x:c r="I9" s="150" t="str">
        <x:f>IF(F9&gt;0,H9/F9,"")</x:f>
      </x:c>
      <x:c r="J9" s="106" t="str">
        <x:f>IF(H9&gt;0,D9/H9,"")</x:f>
      </x:c>
      <x:c r="K9" s="154"/>
      <x:c r="L9" s="106" t="str">
        <x:f>IF(K9&gt;0,D9/K9,"")</x:f>
      </x:c>
      <x:c r="M9" s="54"/>
      <x:c r="N9" s="158" t="str">
        <x:f>IF(D9&gt;0,M9/D9,"")</x:f>
      </x:c>
      <x:c r="O9" s="37"/>
    </x:row>
    <x:row r="10" ht="22" customHeight="1">
      <x:c r="A10" s="63" t="str">
        <x:f>'Plan Média'!A10</x:f>
        <x:v>LinkedIn Ads</x:v>
      </x:c>
      <x:c r="B10" s="63" t="str">
        <x:f>'Plan Média'!B10</x:f>
        <x:v>LinkedIn</x:v>
      </x:c>
      <x:c r="C10" s="146" t="n">
        <x:f>'Plan Média'!E10</x:f>
        <x:v>0</x:v>
      </x:c>
      <x:c r="D10" s="54"/>
      <x:c r="E10" s="74" t="str">
        <x:f>IF(C10&gt;0,(D10-C10)/C10,"")</x:f>
      </x:c>
      <x:c r="F10" s="154"/>
      <x:c r="G10" s="106" t="str">
        <x:f>IF(F10&gt;0,D10/F10*1000,"")</x:f>
      </x:c>
      <x:c r="H10" s="154"/>
      <x:c r="I10" s="150" t="str">
        <x:f>IF(F10&gt;0,H10/F10,"")</x:f>
      </x:c>
      <x:c r="J10" s="106" t="str">
        <x:f>IF(H10&gt;0,D10/H10,"")</x:f>
      </x:c>
      <x:c r="K10" s="154"/>
      <x:c r="L10" s="106" t="str">
        <x:f>IF(K10&gt;0,D10/K10,"")</x:f>
      </x:c>
      <x:c r="M10" s="54"/>
      <x:c r="N10" s="158" t="str">
        <x:f>IF(D10&gt;0,M10/D10,"")</x:f>
      </x:c>
      <x:c r="O10" s="37"/>
    </x:row>
    <x:row r="11" ht="22" customHeight="1">
      <x:c r="A11" s="63" t="str">
        <x:f>'Plan Média'!A11</x:f>
        <x:v>WhatsApp</x:v>
      </x:c>
      <x:c r="B11" s="63" t="str">
        <x:f>'Plan Média'!B11</x:f>
        <x:v>Push WhatsApp</x:v>
      </x:c>
      <x:c r="C11" s="146" t="n">
        <x:f>'Plan Média'!E11</x:f>
        <x:v>0</x:v>
      </x:c>
      <x:c r="D11" s="54"/>
      <x:c r="E11" s="74" t="str">
        <x:f>IF(C11&gt;0,(D11-C11)/C11,"")</x:f>
      </x:c>
      <x:c r="F11" s="154"/>
      <x:c r="G11" s="106" t="str">
        <x:f>IF(F11&gt;0,D11/F11*1000,"")</x:f>
      </x:c>
      <x:c r="H11" s="154"/>
      <x:c r="I11" s="150" t="str">
        <x:f>IF(F11&gt;0,H11/F11,"")</x:f>
      </x:c>
      <x:c r="J11" s="106" t="str">
        <x:f>IF(H11&gt;0,D11/H11,"")</x:f>
      </x:c>
      <x:c r="K11" s="154"/>
      <x:c r="L11" s="106" t="str">
        <x:f>IF(K11&gt;0,D11/K11,"")</x:f>
      </x:c>
      <x:c r="M11" s="54"/>
      <x:c r="N11" s="158" t="str">
        <x:f>IF(D11&gt;0,M11/D11,"")</x:f>
      </x:c>
      <x:c r="O11" s="37"/>
    </x:row>
    <x:row r="12" ht="22" customHeight="1">
      <x:c r="A12" s="63" t="str">
        <x:f>'Plan Média'!A12</x:f>
        <x:v>Programmatic</x:v>
      </x:c>
      <x:c r="B12" s="63" t="str">
        <x:f>'Plan Média'!B12</x:f>
        <x:v>Display / Video</x:v>
      </x:c>
      <x:c r="C12" s="146" t="n">
        <x:f>'Plan Média'!E12</x:f>
        <x:v>0</x:v>
      </x:c>
      <x:c r="D12" s="54"/>
      <x:c r="E12" s="74" t="str">
        <x:f>IF(C12&gt;0,(D12-C12)/C12,"")</x:f>
      </x:c>
      <x:c r="F12" s="154"/>
      <x:c r="G12" s="106" t="str">
        <x:f>IF(F12&gt;0,D12/F12*1000,"")</x:f>
      </x:c>
      <x:c r="H12" s="154"/>
      <x:c r="I12" s="150" t="str">
        <x:f>IF(F12&gt;0,H12/F12,"")</x:f>
      </x:c>
      <x:c r="J12" s="106" t="str">
        <x:f>IF(H12&gt;0,D12/H12,"")</x:f>
      </x:c>
      <x:c r="K12" s="154"/>
      <x:c r="L12" s="106" t="str">
        <x:f>IF(K12&gt;0,D12/K12,"")</x:f>
      </x:c>
      <x:c r="M12" s="54"/>
      <x:c r="N12" s="158" t="str">
        <x:f>IF(D12&gt;0,M12/D12,"")</x:f>
      </x:c>
      <x:c r="O12" s="37"/>
    </x:row>
    <x:row r="13" ht="22" customHeight="1">
      <x:c r="A13" s="63" t="str">
        <x:f>'Plan Média'!A13</x:f>
        <x:v>Influence</x:v>
      </x:c>
      <x:c r="B13" s="63" t="str">
        <x:f>'Plan Média'!B13</x:f>
        <x:v>Créateurs</x:v>
      </x:c>
      <x:c r="C13" s="146" t="n">
        <x:f>'Plan Média'!E13</x:f>
        <x:v>0</x:v>
      </x:c>
      <x:c r="D13" s="54"/>
      <x:c r="E13" s="74" t="str">
        <x:f>IF(C13&gt;0,(D13-C13)/C13,"")</x:f>
      </x:c>
      <x:c r="F13" s="154"/>
      <x:c r="G13" s="106" t="str">
        <x:f>IF(F13&gt;0,D13/F13*1000,"")</x:f>
      </x:c>
      <x:c r="H13" s="154"/>
      <x:c r="I13" s="150" t="str">
        <x:f>IF(F13&gt;0,H13/F13,"")</x:f>
      </x:c>
      <x:c r="J13" s="106" t="str">
        <x:f>IF(H13&gt;0,D13/H13,"")</x:f>
      </x:c>
      <x:c r="K13" s="154"/>
      <x:c r="L13" s="106" t="str">
        <x:f>IF(K13&gt;0,D13/K13,"")</x:f>
      </x:c>
      <x:c r="M13" s="54"/>
      <x:c r="N13" s="158" t="str">
        <x:f>IF(D13&gt;0,M13/D13,"")</x:f>
      </x:c>
      <x:c r="O13" s="37"/>
    </x:row>
    <x:row r="14" ht="22" customHeight="1">
      <x:c r="A14" s="63" t="str">
        <x:f>'Plan Média'!A14</x:f>
        <x:v>Emailing / CRM</x:v>
      </x:c>
      <x:c r="B14" s="63" t="str">
        <x:f>'Plan Média'!B14</x:f>
        <x:v>Email / CRM</x:v>
      </x:c>
      <x:c r="C14" s="146" t="n">
        <x:f>'Plan Média'!E14</x:f>
        <x:v>0</x:v>
      </x:c>
      <x:c r="D14" s="54"/>
      <x:c r="E14" s="74" t="str">
        <x:f>IF(C14&gt;0,(D14-C14)/C14,"")</x:f>
      </x:c>
      <x:c r="F14" s="154"/>
      <x:c r="G14" s="106" t="str">
        <x:f>IF(F14&gt;0,D14/F14*1000,"")</x:f>
      </x:c>
      <x:c r="H14" s="154"/>
      <x:c r="I14" s="150" t="str">
        <x:f>IF(F14&gt;0,H14/F14,"")</x:f>
      </x:c>
      <x:c r="J14" s="106" t="str">
        <x:f>IF(H14&gt;0,D14/H14,"")</x:f>
      </x:c>
      <x:c r="K14" s="154"/>
      <x:c r="L14" s="106" t="str">
        <x:f>IF(K14&gt;0,D14/K14,"")</x:f>
      </x:c>
      <x:c r="M14" s="54"/>
      <x:c r="N14" s="158" t="str">
        <x:f>IF(D14&gt;0,M14/D14,"")</x:f>
      </x:c>
      <x:c r="O14" s="37"/>
    </x:row>
    <x:row r="15" ht="22" customHeight="1">
      <x:c r="A15" s="63" t="str">
        <x:f>'Plan Média'!A15</x:f>
        <x:v>Autres</x:v>
      </x:c>
      <x:c r="B15" s="63" t="n">
        <x:f>'Plan Média'!B15</x:f>
        <x:v>0</x:v>
      </x:c>
      <x:c r="C15" s="146" t="n">
        <x:f>'Plan Média'!E15</x:f>
        <x:v>0</x:v>
      </x:c>
      <x:c r="D15" s="54"/>
      <x:c r="E15" s="74" t="str">
        <x:f>IF(C15&gt;0,(D15-C15)/C15,"")</x:f>
      </x:c>
      <x:c r="F15" s="154"/>
      <x:c r="G15" s="106" t="str">
        <x:f>IF(F15&gt;0,D15/F15*1000,"")</x:f>
      </x:c>
      <x:c r="H15" s="154"/>
      <x:c r="I15" s="150" t="str">
        <x:f>IF(F15&gt;0,H15/F15,"")</x:f>
      </x:c>
      <x:c r="J15" s="106" t="str">
        <x:f>IF(H15&gt;0,D15/H15,"")</x:f>
      </x:c>
      <x:c r="K15" s="154"/>
      <x:c r="L15" s="106" t="str">
        <x:f>IF(K15&gt;0,D15/K15,"")</x:f>
      </x:c>
      <x:c r="M15" s="54"/>
      <x:c r="N15" s="158" t="str">
        <x:f>IF(D15&gt;0,M15/D15,"")</x:f>
      </x:c>
      <x:c r="O15" s="37"/>
    </x:row>
    <x:row r="16" ht="22" customHeight="1">
      <x:c r="A16" s="64" t="str">
        <x:f>'Plan Média'!A16</x:f>
        <x:v>Autres</x:v>
      </x:c>
      <x:c r="B16" s="64" t="n">
        <x:f>'Plan Média'!B16</x:f>
        <x:v>0</x:v>
      </x:c>
      <x:c r="C16" s="147" t="n">
        <x:f>'Plan Média'!E16</x:f>
        <x:v>0</x:v>
      </x:c>
      <x:c r="D16" s="68"/>
      <x:c r="E16" s="75" t="str">
        <x:f>IF(C16&gt;0,(D16-C16)/C16,"")</x:f>
      </x:c>
      <x:c r="F16" s="155"/>
      <x:c r="G16" s="107" t="str">
        <x:f>IF(F16&gt;0,D16/F16*1000,"")</x:f>
      </x:c>
      <x:c r="H16" s="155"/>
      <x:c r="I16" s="151" t="str">
        <x:f>IF(F16&gt;0,H16/F16,"")</x:f>
      </x:c>
      <x:c r="J16" s="107" t="str">
        <x:f>IF(H16&gt;0,D16/H16,"")</x:f>
      </x:c>
      <x:c r="K16" s="155"/>
      <x:c r="L16" s="107" t="str">
        <x:f>IF(K16&gt;0,D16/K16,"")</x:f>
      </x:c>
      <x:c r="M16" s="68"/>
      <x:c r="N16" s="159" t="str">
        <x:f>IF(D16&gt;0,M16/D16,"")</x:f>
      </x:c>
      <x:c r="O16" s="38"/>
    </x:row>
    <x:row r="17" ht="22" customHeight="1">
      <x:c r="C17" s="69"/>
      <x:c r="D17" s="69"/>
      <x:c r="E17" s="76"/>
      <x:c r="F17" s="92"/>
      <x:c r="G17" s="84"/>
      <x:c r="H17" s="92"/>
      <x:c r="I17" s="100"/>
      <x:c r="J17" s="84"/>
      <x:c r="K17" s="92"/>
      <x:c r="L17" s="84"/>
      <x:c r="M17" s="69"/>
      <x:c r="N17" s="160"/>
    </x:row>
    <x:row r="18" ht="22" customHeight="1">
      <x:c r="A18" s="30" t="str">
        <x:v>TOTAL</x:v>
      </x:c>
      <x:c r="B18" s="30"/>
      <x:c r="C18" s="70" t="n">
        <x:f>SUM(C5:C16)</x:f>
        <x:v>0</x:v>
      </x:c>
      <x:c r="D18" s="70" t="n">
        <x:f>SUM(D5:D16)</x:f>
        <x:v>0</x:v>
      </x:c>
      <x:c r="E18" s="77" t="str">
        <x:f>IF(C18&gt;0,(D18-C18)/C18,"")</x:f>
      </x:c>
      <x:c r="F18" s="93" t="n">
        <x:f>SUM(F5:F16)</x:f>
        <x:v>0</x:v>
      </x:c>
      <x:c r="G18" s="85" t="str">
        <x:f>IF(F18&gt;0,D18/F18*1000,"")</x:f>
      </x:c>
      <x:c r="H18" s="93" t="n">
        <x:f>SUM(H5:H16)</x:f>
        <x:v>0</x:v>
      </x:c>
      <x:c r="I18" s="101" t="str">
        <x:f>IF(F18&gt;0,H18/F18,"")</x:f>
      </x:c>
      <x:c r="J18" s="85" t="str">
        <x:f>IF(H18&gt;0,D18/H18,"")</x:f>
      </x:c>
      <x:c r="K18" s="93" t="n">
        <x:f>SUM(K5:K16)</x:f>
        <x:v>0</x:v>
      </x:c>
      <x:c r="L18" s="85" t="str">
        <x:f>IF(K18&gt;0,D18/K18,"")</x:f>
      </x:c>
      <x:c r="M18" s="70" t="n">
        <x:f>SUM(M5:M16)</x:f>
        <x:v>0</x:v>
      </x:c>
      <x:c r="N18" s="161" t="str">
        <x:f>IF(D18&gt;0,M18/D18,"")</x:f>
      </x:c>
      <x:c r="O18" s="30"/>
    </x:row>
  </x:sheetData>
  <x:mergeCells>
    <x:mergeCell ref="A1:O2"/>
    <x:mergeCell ref="A18:B18"/>
  </x:mergeCells>
  <x:conditionalFormatting sqref="E5:E1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N5:N1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{5E3DAE29-3F89-DCFB-EA6E-6B3B6863CF41}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3DAE29-3F89-DCFB-EA6E-6B3B6863CF41}">
            <x14:dataBar gradient="1">
              <x14:cfvo type="min"/>
              <x14:cfvo type="max"/>
              <x14:fillColor rgb="FFA02B93"/>
            </x14:dataBar>
          </x14:cfRule>
          <xm:sqref>N5:N16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4" t="str">
        <x:v>DASHBOARD — PERFORMANCE CAMPAGNE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30" t="str">
        <x:v>Budget prévu</x:v>
      </x:c>
      <x:c r="B4" s="30"/>
      <x:c r="C4" s="30" t="str">
        <x:v>Budget réel</x:v>
      </x:c>
      <x:c r="D4" s="30"/>
      <x:c r="E4" s="30" t="str">
        <x:v>Impressions</x:v>
      </x:c>
      <x:c r="F4" s="30"/>
      <x:c r="G4" s="30" t="str">
        <x:v>Clics</x:v>
      </x:c>
      <x:c r="H4" s="30"/>
      <x:c r="I4" s="30" t="str">
        <x:v>Leads / conv.</x:v>
      </x:c>
      <x:c r="J4" s="30"/>
    </x:row>
    <x:row r="5">
      <x:c r="A5" s="192" t="n">
        <x:f>'Prévisions'!B15</x:f>
        <x:v>0</x:v>
      </x:c>
      <x:c r="B5" s="193"/>
      <x:c r="C5" s="192" t="n">
        <x:f>'Résultats Réels'!D18</x:f>
        <x:v>0</x:v>
      </x:c>
      <x:c r="D5" s="193"/>
      <x:c r="E5" s="200" t="n">
        <x:f>'Résultats Réels'!F18</x:f>
        <x:v>0</x:v>
      </x:c>
      <x:c r="F5" s="201"/>
      <x:c r="G5" s="200" t="n">
        <x:f>'Résultats Réels'!H18</x:f>
        <x:v>0</x:v>
      </x:c>
      <x:c r="H5" s="201"/>
      <x:c r="I5" s="200" t="n">
        <x:f>'Résultats Réels'!K18</x:f>
        <x:v>0</x:v>
      </x:c>
      <x:c r="J5" s="201"/>
    </x:row>
    <x:row r="6">
      <x:c r="A6" s="194"/>
      <x:c r="B6" s="195"/>
      <x:c r="C6" s="194"/>
      <x:c r="D6" s="195"/>
      <x:c r="E6" s="202"/>
      <x:c r="F6" s="203"/>
      <x:c r="G6" s="202"/>
      <x:c r="H6" s="203"/>
      <x:c r="I6" s="202"/>
      <x:c r="J6" s="203"/>
    </x:row>
    <x:row r="8">
      <x:c r="A8" s="21" t="str">
        <x:v>KPI DE PERFORMANCE RÉELS</x:v>
      </x:c>
      <x:c r="B8" s="21"/>
      <x:c r="C8" s="21"/>
      <x:c r="D8" s="21"/>
      <x:c r="E8" s="21"/>
      <x:c r="F8" s="21"/>
      <x:c r="G8" s="21"/>
      <x:c r="H8" s="21"/>
      <x:c r="I8" s="21"/>
      <x:c r="J8" s="21"/>
    </x:row>
    <x:row r="10">
      <x:c r="A10" s="30" t="str">
        <x:v>CPM réel</x:v>
      </x:c>
      <x:c r="B10" s="30"/>
      <x:c r="C10" s="30" t="str">
        <x:v>CPC réel</x:v>
      </x:c>
      <x:c r="D10" s="30"/>
      <x:c r="E10" s="30" t="str">
        <x:v>CTR réel</x:v>
      </x:c>
      <x:c r="F10" s="30"/>
      <x:c r="G10" s="30" t="str">
        <x:v>CPL / CPA</x:v>
      </x:c>
      <x:c r="H10" s="30"/>
      <x:c r="I10" s="30" t="str">
        <x:v>ROAS</x:v>
      </x:c>
      <x:c r="J10" s="30"/>
    </x:row>
    <x:row r="11">
      <x:c r="A11" s="234" t="n">
        <x:f>'Résultats Réels'!G18</x:f>
        <x:v>0</x:v>
      </x:c>
      <x:c r="B11" s="235"/>
      <x:c r="C11" s="234" t="n">
        <x:f>'Résultats Réels'!J18</x:f>
        <x:v>0</x:v>
      </x:c>
      <x:c r="D11" s="235"/>
      <x:c r="E11" s="242" t="n">
        <x:f>'Résultats Réels'!I18</x:f>
        <x:v>0</x:v>
      </x:c>
      <x:c r="F11" s="243"/>
      <x:c r="G11" s="234" t="n">
        <x:f>'Résultats Réels'!L18</x:f>
        <x:v>0</x:v>
      </x:c>
      <x:c r="H11" s="235"/>
      <x:c r="I11" s="250" t="n">
        <x:f>'Résultats Réels'!N18</x:f>
        <x:v>0</x:v>
      </x:c>
      <x:c r="J11" s="251"/>
    </x:row>
    <x:row r="12">
      <x:c r="A12" s="236"/>
      <x:c r="B12" s="237"/>
      <x:c r="C12" s="236"/>
      <x:c r="D12" s="237"/>
      <x:c r="E12" s="244"/>
      <x:c r="F12" s="245"/>
      <x:c r="G12" s="236"/>
      <x:c r="H12" s="237"/>
      <x:c r="I12" s="252"/>
      <x:c r="J12" s="253"/>
    </x:row>
    <x:row r="15">
      <x:c r="A15" s="6" t="str">
        <x:v>Canal</x:v>
      </x:c>
      <x:c r="B15" s="6" t="str">
        <x:v>Budget prévu</x:v>
      </x:c>
      <x:c r="C15" s="6" t="str">
        <x:v>Budget réel</x:v>
      </x:c>
    </x:row>
    <x:row r="16">
      <x:c r="A16" t="str">
        <x:v>Meta Ads</x:v>
      </x:c>
      <x:c r="B16" s="69" t="n">
        <x:f>'Prévisions'!B5</x:f>
        <x:v>0</x:v>
      </x:c>
      <x:c r="C16" s="69" t="n">
        <x:f>SUMIF('Résultats Réels'!$A$5:$A$16,A16,'Résultats Réels'!$D$5:$D$16)</x:f>
        <x:v>0</x:v>
      </x:c>
    </x:row>
    <x:row r="17">
      <x:c r="A17" t="str">
        <x:v>Google Ads</x:v>
      </x:c>
      <x:c r="B17" s="69" t="n">
        <x:f>'Prévisions'!B6</x:f>
        <x:v>0</x:v>
      </x:c>
      <x:c r="C17" s="69" t="n">
        <x:f>SUMIF('Résultats Réels'!$A$5:$A$16,A17,'Résultats Réels'!$D$5:$D$16)</x:f>
        <x:v>0</x:v>
      </x:c>
    </x:row>
    <x:row r="18">
      <x:c r="A18" t="str">
        <x:v>TikTok Ads</x:v>
      </x:c>
      <x:c r="B18" s="69" t="n">
        <x:f>'Prévisions'!B7</x:f>
        <x:v>0</x:v>
      </x:c>
      <x:c r="C18" s="69" t="n">
        <x:f>SUMIF('Résultats Réels'!$A$5:$A$16,A18,'Résultats Réels'!$D$5:$D$16)</x:f>
        <x:v>0</x:v>
      </x:c>
    </x:row>
    <x:row r="19">
      <x:c r="A19" t="str">
        <x:v>LinkedIn Ads</x:v>
      </x:c>
      <x:c r="B19" s="69" t="n">
        <x:f>'Prévisions'!B8</x:f>
        <x:v>0</x:v>
      </x:c>
      <x:c r="C19" s="69" t="n">
        <x:f>SUMIF('Résultats Réels'!$A$5:$A$16,A19,'Résultats Réels'!$D$5:$D$16)</x:f>
        <x:v>0</x:v>
      </x:c>
    </x:row>
    <x:row r="20">
      <x:c r="A20" t="str">
        <x:v>WhatsApp</x:v>
      </x:c>
      <x:c r="B20" s="69" t="n">
        <x:f>'Prévisions'!B9</x:f>
        <x:v>0</x:v>
      </x:c>
      <x:c r="C20" s="69" t="n">
        <x:f>SUMIF('Résultats Réels'!$A$5:$A$16,A20,'Résultats Réels'!$D$5:$D$16)</x:f>
        <x:v>0</x:v>
      </x:c>
    </x:row>
    <x:row r="21">
      <x:c r="A21" t="str">
        <x:v>Programmatic</x:v>
      </x:c>
      <x:c r="B21" s="69" t="n">
        <x:f>'Prévisions'!B10</x:f>
        <x:v>0</x:v>
      </x:c>
      <x:c r="C21" s="69" t="n">
        <x:f>SUMIF('Résultats Réels'!$A$5:$A$16,A21,'Résultats Réels'!$D$5:$D$16)</x:f>
        <x:v>0</x:v>
      </x:c>
    </x:row>
    <x:row r="22">
      <x:c r="A22" t="str">
        <x:v>Influence</x:v>
      </x:c>
      <x:c r="B22" s="69" t="n">
        <x:f>'Prévisions'!B11</x:f>
        <x:v>0</x:v>
      </x:c>
      <x:c r="C22" s="69" t="n">
        <x:f>SUMIF('Résultats Réels'!$A$5:$A$16,A22,'Résultats Réels'!$D$5:$D$16)</x:f>
        <x:v>0</x:v>
      </x:c>
    </x:row>
    <x:row r="23">
      <x:c r="A23" t="str">
        <x:v>Emailing / CRM</x:v>
      </x:c>
      <x:c r="B23" s="69" t="n">
        <x:f>'Prévisions'!B12</x:f>
        <x:v>0</x:v>
      </x:c>
      <x:c r="C23" s="69" t="n">
        <x:f>SUMIF('Résultats Réels'!$A$5:$A$16,A23,'Résultats Réels'!$D$5:$D$16)</x:f>
        <x:v>0</x:v>
      </x:c>
    </x:row>
    <x:row r="24">
      <x:c r="A24" t="str">
        <x:v>Autres</x:v>
      </x:c>
      <x:c r="B24" s="69" t="n">
        <x:f>'Prévisions'!B13</x:f>
        <x:v>0</x:v>
      </x:c>
      <x:c r="C24" s="69" t="n">
        <x:f>SUMIF('Résultats Réels'!$A$5:$A$16,A24,'Résultats Réels'!$D$5:$D$16)</x:f>
        <x:v>0</x:v>
      </x:c>
    </x:row>
    <x:row r="27">
      <x:c r="A27" s="58" t="str">
        <x:v>Lecture recommandée : ne jugez pas uniquement le volume de leads. Reliez les KPI média (CPM, CPC, CTR) à la qualité, au taux de conversion, au CAC et au ROAS.</x:v>
      </x:c>
      <x:c r="B27" s="58"/>
      <x:c r="C27" s="58"/>
      <x:c r="D27" s="58"/>
    </x:row>
    <x:row r="28">
      <x:c r="A28" s="58"/>
      <x:c r="B28" s="58"/>
      <x:c r="C28" s="58"/>
      <x:c r="D28" s="58"/>
    </x:row>
    <x:row r="29">
      <x:c r="A29" s="58"/>
      <x:c r="B29" s="58"/>
      <x:c r="C29" s="58"/>
      <x:c r="D29" s="58"/>
    </x:row>
    <x:row r="30">
      <x:c r="A30" s="58"/>
      <x:c r="B30" s="58"/>
      <x:c r="C30" s="58"/>
      <x:c r="D30" s="58"/>
    </x:row>
    <x:row r="31">
      <x:c r="A31" s="58"/>
      <x:c r="B31" s="58"/>
      <x:c r="C31" s="58"/>
      <x:c r="D31" s="58"/>
    </x:row>
  </x:sheetData>
  <x:mergeCells>
    <x:mergeCell ref="A1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10:B10"/>
    <x:mergeCell ref="A11:B12"/>
    <x:mergeCell ref="C10:D10"/>
    <x:mergeCell ref="C11:D12"/>
    <x:mergeCell ref="E10:F10"/>
    <x:mergeCell ref="E11:F12"/>
    <x:mergeCell ref="G10:H10"/>
    <x:mergeCell ref="G11:H12"/>
    <x:mergeCell ref="I10:J10"/>
    <x:mergeCell ref="I11:J12"/>
    <x:mergeCell ref="A27:D31"/>
  </x:mergeCells>
  <x:pageMargins left="0.7" right="0.7" top="0.75" bottom="0.75" header="0.3" footer="0.3"/>
  <x:drawing xmlns:r="http://schemas.openxmlformats.org/officeDocument/2006/relationships" r:id="R71b77317da154d59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5" hidden="0" customWidth="1"/>
    <x:col min="5" max="5" width="28" hidden="0" customWidth="1"/>
    <x:col min="6" max="6" width="34" hidden="0" customWidth="1"/>
  </x:cols>
  <x:sheetData>
    <x:row r="1">
      <x:c r="A1" s="14" t="str">
        <x:v>BENCHMARKS RICHMEDIA 2026 — DONNÉES PROPRIÉTAIRES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 ht="22" customHeight="1">
      <x:c r="A4" s="21" t="str">
        <x:v>META ADS — FOURCHETTES OBSERVÉES</x:v>
      </x:c>
      <x:c r="B4" s="21"/>
      <x:c r="C4" s="21"/>
      <x:c r="D4" s="21"/>
      <x:c r="E4" s="21"/>
      <x:c r="F4" s="21"/>
    </x:row>
    <x:row r="5" ht="22" customHeight="1">
      <x:c r="A5" s="6" t="str">
        <x:v>KPI</x:v>
      </x:c>
      <x:c r="B5" s="6" t="str">
        <x:v>Minimum</x:v>
      </x:c>
      <x:c r="C5" s="6" t="str">
        <x:v>Maximum</x:v>
      </x:c>
    </x:row>
    <x:row r="6" ht="22" customHeight="1">
      <x:c r="A6" t="str">
        <x:v>CPM (MAD)</x:v>
      </x:c>
      <x:c r="B6" s="84" t="n">
        <x:v>5</x:v>
      </x:c>
      <x:c r="C6" s="84" t="n">
        <x:v>18</x:v>
      </x:c>
    </x:row>
    <x:row r="7" ht="22" customHeight="1">
      <x:c r="A7" t="str">
        <x:v>CPC (MAD)</x:v>
      </x:c>
      <x:c r="B7" s="84" t="n">
        <x:v>0.4</x:v>
      </x:c>
      <x:c r="C7" s="84" t="n">
        <x:v>2.5</x:v>
      </x:c>
    </x:row>
    <x:row r="8" ht="22" customHeight="1">
      <x:c r="A8" t="str">
        <x:v>CTR</x:v>
      </x:c>
      <x:c r="B8" s="76" t="n">
        <x:v>0.008</x:v>
      </x:c>
      <x:c r="C8" s="76" t="n">
        <x:v>0.032</x:v>
      </x:c>
    </x:row>
    <x:row r="9" ht="22" customHeight="1">
      <x:c r="A9" t="str">
        <x:v>CPL (MAD)</x:v>
      </x:c>
      <x:c r="B9" s="84" t="n">
        <x:v>8</x:v>
      </x:c>
      <x:c r="C9" s="84" t="n">
        <x:v>180</x:v>
      </x:c>
    </x:row>
    <x:row r="10" ht="22" customHeight="1"/>
    <x:row r="11" ht="22" customHeight="1">
      <x:c r="A11" s="21" t="str">
        <x:v>GOOGLE ADS — FOURCHETTES OBSERVÉES</x:v>
      </x:c>
      <x:c r="B11" s="21"/>
      <x:c r="C11" s="21"/>
      <x:c r="D11" s="21"/>
      <x:c r="E11" s="21"/>
      <x:c r="F11" s="21"/>
    </x:row>
    <x:row r="12" ht="22" customHeight="1">
      <x:c r="A12" s="6" t="str">
        <x:v>KPI</x:v>
      </x:c>
      <x:c r="B12" s="6" t="str">
        <x:v>Minimum</x:v>
      </x:c>
      <x:c r="C12" s="6" t="str">
        <x:v>Maximum</x:v>
      </x:c>
    </x:row>
    <x:row r="13" ht="22" customHeight="1">
      <x:c r="A13" t="str">
        <x:v>CPC (MAD)</x:v>
      </x:c>
      <x:c r="B13" s="84" t="n">
        <x:v>2</x:v>
      </x:c>
      <x:c r="C13" s="84" t="n">
        <x:v>8</x:v>
      </x:c>
    </x:row>
    <x:row r="14" ht="22" customHeight="1">
      <x:c r="A14" t="str">
        <x:v>CTR</x:v>
      </x:c>
      <x:c r="B14" s="76" t="n">
        <x:v>0.03</x:v>
      </x:c>
      <x:c r="C14" s="76" t="n">
        <x:v>0.07</x:v>
      </x:c>
    </x:row>
    <x:row r="15" ht="22" customHeight="1">
      <x:c r="A15" t="str">
        <x:v>CPL (MAD)</x:v>
      </x:c>
      <x:c r="B15" s="84" t="n">
        <x:v>18</x:v>
      </x:c>
      <x:c r="C15" s="84" t="n">
        <x:v>150</x:v>
      </x:c>
    </x:row>
    <x:row r="16" ht="22" customHeight="1">
      <x:c r="A16" t="str">
        <x:v>Taux de conversion</x:v>
      </x:c>
      <x:c r="B16" s="76" t="n">
        <x:v>0.03</x:v>
      </x:c>
      <x:c r="C16" s="76" t="n">
        <x:v>0.1</x:v>
      </x:c>
    </x:row>
    <x:row r="17" ht="22" customHeight="1"/>
    <x:row r="18" ht="22" customHeight="1">
      <x:c r="A18" s="21" t="str">
        <x:v>WHATSAPP — FOURCHETTES OBSERVÉES (130 CAMPAGNES)</x:v>
      </x:c>
      <x:c r="B18" s="21"/>
      <x:c r="C18" s="21"/>
      <x:c r="D18" s="21"/>
      <x:c r="E18" s="21"/>
      <x:c r="F18" s="21"/>
    </x:row>
    <x:row r="19" ht="22" customHeight="1">
      <x:c r="A19" s="6" t="str">
        <x:v>KPI</x:v>
      </x:c>
      <x:c r="B19" s="6" t="str">
        <x:v>Minimum</x:v>
      </x:c>
      <x:c r="C19" s="6" t="str">
        <x:v>Maximum</x:v>
      </x:c>
    </x:row>
    <x:row r="20" ht="22" customHeight="1">
      <x:c r="A20" t="str">
        <x:v>Lecture / ouverture</x:v>
      </x:c>
      <x:c r="B20" s="76" t="n">
        <x:v>0.8</x:v>
      </x:c>
      <x:c r="C20" s="76" t="n">
        <x:v>0.95</x:v>
      </x:c>
    </x:row>
    <x:row r="21" ht="22" customHeight="1">
      <x:c r="A21" t="str">
        <x:v>Clic</x:v>
      </x:c>
      <x:c r="B21" s="76" t="n">
        <x:v>0.08</x:v>
      </x:c>
      <x:c r="C21" s="76" t="n">
        <x:v>0.25</x:v>
      </x:c>
    </x:row>
    <x:row r="22" ht="22" customHeight="1">
      <x:c r="A22" t="str">
        <x:v>Réponse</x:v>
      </x:c>
      <x:c r="B22" s="76" t="n">
        <x:v>0.03</x:v>
      </x:c>
      <x:c r="C22" s="76" t="n">
        <x:v>0.25</x:v>
      </x:c>
    </x:row>
    <x:row r="23" ht="22" customHeight="1">
      <x:c r="A23" t="str">
        <x:v>Opt-out</x:v>
      </x:c>
      <x:c r="B23" s="76" t="n">
        <x:v>0.002</x:v>
      </x:c>
      <x:c r="C23" s="76" t="n">
        <x:v>0.02</x:v>
      </x:c>
    </x:row>
    <x:row r="24" ht="22" customHeight="1">
      <x:c r="A24" t="str">
        <x:v>Conversion</x:v>
      </x:c>
      <x:c r="B24" s="76" t="n">
        <x:v>0.05</x:v>
      </x:c>
      <x:c r="C24" s="76" t="n">
        <x:v>0.08</x:v>
      </x:c>
    </x:row>
    <x:row r="25" ht="22" customHeight="1"/>
    <x:row r="26" ht="22" customHeight="1">
      <x:c r="A26" s="21" t="str">
        <x:v>CPL PAR SECTEUR / SEGMENT</x:v>
      </x:c>
      <x:c r="B26" s="21"/>
      <x:c r="C26" s="21"/>
      <x:c r="D26" s="21"/>
      <x:c r="E26" s="21"/>
      <x:c r="F26" s="21"/>
    </x:row>
    <x:row r="27" ht="22" customHeight="1">
      <x:c r="A27" s="6" t="str">
        <x:v>Secteur / segment</x:v>
      </x:c>
      <x:c r="B27" s="6" t="str">
        <x:v>CPL min (MAD)</x:v>
      </x:c>
      <x:c r="C27" s="6" t="str">
        <x:v>CPL max (MAD)</x:v>
      </x:c>
      <x:c r="E27" s="6" t="str">
        <x:v>Règle / observation</x:v>
      </x:c>
      <x:c r="F27" s="6" t="str">
        <x:v>Valeur</x:v>
      </x:c>
    </x:row>
    <x:row r="28" ht="22" customHeight="1">
      <x:c r="A28" t="str">
        <x:v>Éducation — Bachelier</x:v>
      </x:c>
      <x:c r="B28" s="84" t="n">
        <x:v>20</x:v>
      </x:c>
      <x:c r="C28" s="84" t="n">
        <x:v>40</x:v>
      </x:c>
      <x:c r="E28" s="258" t="str">
        <x:v>LinkedIn Ads</x:v>
      </x:c>
      <x:c r="F28" s="258" t="str">
        <x:v>CPL ≈ 2× à 3× le CPL de référence</x:v>
      </x:c>
    </x:row>
    <x:row r="29" ht="22" customHeight="1">
      <x:c r="A29" t="str">
        <x:v>Éducation — Master</x:v>
      </x:c>
      <x:c r="B29" s="84" t="n">
        <x:v>20</x:v>
      </x:c>
      <x:c r="C29" s="84" t="n">
        <x:v>50</x:v>
      </x:c>
      <x:c r="E29" s="258" t="str">
        <x:v>Search</x:v>
      </x:c>
      <x:c r="F29" s="258" t="str">
        <x:v>Leads généralement plus qualifiés</x:v>
      </x:c>
    </x:row>
    <x:row r="30" ht="22" customHeight="1">
      <x:c r="A30" t="str">
        <x:v>Éducation — Formation continue / MBA</x:v>
      </x:c>
      <x:c r="B30" s="84" t="n">
        <x:v>60</x:v>
      </x:c>
      <x:c r="C30" s="84" t="n">
        <x:v>120</x:v>
      </x:c>
      <x:c r="E30" s="259" t="str">
        <x:v>Meta Lead Ads</x:v>
      </x:c>
      <x:c r="F30" s="259" t="str">
        <x:v>Volume élevé, qualité souvent plus variable</x:v>
      </x:c>
    </x:row>
    <x:row r="31" ht="22" customHeight="1">
      <x:c r="A31" t="str">
        <x:v>Immobilier</x:v>
      </x:c>
      <x:c r="B31" s="84" t="n">
        <x:v>25</x:v>
      </x:c>
      <x:c r="C31" s="84" t="n">
        <x:v>220</x:v>
      </x:c>
    </x:row>
    <x:row r="32" ht="22" customHeight="1">
      <x:c r="A32" t="str">
        <x:v>Automobile</x:v>
      </x:c>
      <x:c r="B32" s="84" t="n">
        <x:v>30</x:v>
      </x:c>
      <x:c r="C32" s="84" t="n">
        <x:v>100</x:v>
      </x:c>
    </x:row>
    <x:row r="33" ht="22" customHeight="1">
      <x:c r="A33" t="str">
        <x:v>Retail / GMS</x:v>
      </x:c>
      <x:c r="B33" s="84" t="n">
        <x:v>8</x:v>
      </x:c>
      <x:c r="C33" s="84" t="n">
        <x:v>35</x:v>
      </x:c>
    </x:row>
    <x:row r="34" ht="22" customHeight="1">
      <x:c r="A34" t="str">
        <x:v>Tourisme</x:v>
      </x:c>
      <x:c r="B34" s="84" t="n">
        <x:v>20</x:v>
      </x:c>
      <x:c r="C34" s="84" t="n">
        <x:v>70</x:v>
      </x:c>
    </x:row>
    <x:row r="35" ht="22" customHeight="1">
      <x:c r="A35" t="str">
        <x:v>Banque / Assurance</x:v>
      </x:c>
      <x:c r="B35" s="84" t="n">
        <x:v>40</x:v>
      </x:c>
      <x:c r="C35" s="84" t="n">
        <x:v>120</x:v>
      </x:c>
    </x:row>
    <x:row r="36" ht="22" customHeight="1"/>
    <x:row r="37" ht="22" customHeight="1">
      <x:c r="A37" s="58" t="str">
        <x:v>Source : Baromètre du Marketing Digital au Maroc 2026 — Richmedia. 400 campagnes, 82 clients, 25 M MAD de budget média, données 2022–2026. Ces fourchettes sont des points de comparaison issus de l’échantillon Richmedia, pas des garanties de performance ni des standards universels du marché.</x:v>
      </x:c>
      <x:c r="B37" s="58"/>
      <x:c r="C37" s="58"/>
      <x:c r="D37" s="58"/>
      <x:c r="E37" s="58"/>
      <x:c r="F37" s="58"/>
    </x:row>
    <x:row r="38" ht="22" customHeight="1">
      <x:c r="A38" s="58"/>
      <x:c r="B38" s="58"/>
      <x:c r="C38" s="58"/>
      <x:c r="D38" s="58"/>
      <x:c r="E38" s="58"/>
      <x:c r="F38" s="58"/>
    </x:row>
    <x:row r="39" ht="22" customHeight="1">
      <x:c r="A39" s="58"/>
      <x:c r="B39" s="58"/>
      <x:c r="C39" s="58"/>
      <x:c r="D39" s="58"/>
      <x:c r="E39" s="58"/>
      <x:c r="F39" s="58"/>
    </x:row>
    <x:row r="40" ht="22" customHeight="1">
      <x:c r="A40" s="58"/>
      <x:c r="B40" s="58"/>
      <x:c r="C40" s="58"/>
      <x:c r="D40" s="58"/>
      <x:c r="E40" s="58"/>
      <x:c r="F40" s="58"/>
    </x:row>
    <x:row r="41" ht="22" customHeight="1"/>
    <x:row r="42" ht="22" customHeight="1">
      <x:c r="A42" s="263" t="str">
        <x:v>Site Richmedia : https://richmedia.ma/</x:v>
      </x:c>
      <x:c r="B42" s="263"/>
      <x:c r="C42" s="263"/>
      <x:c r="D42" s="263"/>
      <x:c r="E42" s="263"/>
      <x:c r="F42" s="263"/>
    </x:row>
  </x:sheetData>
  <x:mergeCells>
    <x:mergeCell ref="A1:F2"/>
    <x:mergeCell ref="A4:F4"/>
    <x:mergeCell ref="A11:F11"/>
    <x:mergeCell ref="A18:F18"/>
    <x:mergeCell ref="A26:F26"/>
    <x:mergeCell ref="A37:F40"/>
    <x:mergeCell ref="A42:F4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Canal</x:v>
      </x:c>
      <x:c r="B1" s="6" t="str">
        <x:v>Objectif</x:v>
      </x:c>
      <x:c r="C1" s="6" t="str">
        <x:v>Secteur</x:v>
      </x:c>
      <x:c r="D1" s="6" t="str">
        <x:v>Segment Éducation</x:v>
      </x:c>
      <x:c r="F1" s="14" t="str">
        <x:v>Référentiels — listes de validation</x:v>
      </x:c>
      <x:c r="G1" s="14"/>
      <x:c r="H1" s="14"/>
    </x:row>
    <x:row r="2">
      <x:c r="A2" t="str">
        <x:v>Meta Ads</x:v>
      </x:c>
      <x:c r="B2" t="str">
        <x:v>Notoriété</x:v>
      </x:c>
      <x:c r="C2" t="str">
        <x:v>Éducation</x:v>
      </x:c>
      <x:c r="D2" t="str">
        <x:v>Bachelier</x:v>
      </x:c>
      <x:c r="F2" s="14"/>
      <x:c r="G2" s="14"/>
      <x:c r="H2" s="14"/>
    </x:row>
    <x:row r="3">
      <x:c r="A3" t="str">
        <x:v>Google Ads</x:v>
      </x:c>
      <x:c r="B3" t="str">
        <x:v>Trafic</x:v>
      </x:c>
      <x:c r="C3" t="str">
        <x:v>Immobilier</x:v>
      </x:c>
      <x:c r="D3" t="str">
        <x:v>Master</x:v>
      </x:c>
    </x:row>
    <x:row r="4">
      <x:c r="A4" t="str">
        <x:v>TikTok Ads</x:v>
      </x:c>
      <x:c r="B4" t="str">
        <x:v>Leads</x:v>
      </x:c>
      <x:c r="C4" t="str">
        <x:v>Automobile</x:v>
      </x:c>
      <x:c r="D4" t="str">
        <x:v>Formation continue / MBA</x:v>
      </x:c>
    </x:row>
    <x:row r="5">
      <x:c r="A5" t="str">
        <x:v>LinkedIn Ads</x:v>
      </x:c>
      <x:c r="B5" t="str">
        <x:v>Conversions</x:v>
      </x:c>
      <x:c r="C5" t="str">
        <x:v>Retail / GMS</x:v>
      </x:c>
      <x:c r="D5" t="str"/>
    </x:row>
    <x:row r="6">
      <x:c r="A6" t="str">
        <x:v>WhatsApp</x:v>
      </x:c>
      <x:c r="B6" t="str">
        <x:v>Drive-to-store</x:v>
      </x:c>
      <x:c r="C6" t="str">
        <x:v>Tourisme</x:v>
      </x:c>
      <x:c r="D6" t="str"/>
    </x:row>
    <x:row r="7">
      <x:c r="A7" t="str">
        <x:v>Programmatic</x:v>
      </x:c>
      <x:c r="B7" t="str">
        <x:v>Engagement</x:v>
      </x:c>
      <x:c r="C7" t="str">
        <x:v>Banque / Assurance</x:v>
      </x:c>
      <x:c r="D7" t="str"/>
    </x:row>
    <x:row r="8">
      <x:c r="A8" t="str">
        <x:v>Influence</x:v>
      </x:c>
      <x:c r="B8" t="str">
        <x:v>Ventes</x:v>
      </x:c>
      <x:c r="C8" t="str">
        <x:v>FMCG</x:v>
      </x:c>
      <x:c r="D8" t="str"/>
    </x:row>
    <x:row r="9">
      <x:c r="A9" t="str">
        <x:v>Emailing / CRM</x:v>
      </x:c>
      <x:c r="B9" t="str">
        <x:v>Inscription</x:v>
      </x:c>
      <x:c r="C9" t="str">
        <x:v>Autres</x:v>
      </x:c>
      <x:c r="D9" t="str"/>
    </x:row>
    <x:row r="10">
      <x:c r="A10" t="str">
        <x:v>Autres</x:v>
      </x:c>
      <x:c r="B10" t="str">
        <x:v>Téléchargement</x:v>
      </x:c>
      <x:c r="C10" t="str"/>
      <x:c r="D10" t="str"/>
    </x:row>
    <x:row r="11">
      <x:c r="A11" t="str"/>
      <x:c r="B11" t="str">
        <x:v>Appels / RDV</x:v>
      </x:c>
      <x:c r="C11" t="str"/>
      <x:c r="D11" t="str"/>
    </x:row>
    <x:row r="12">
      <x:c r="A12" t="str"/>
      <x:c r="B12" t="str">
        <x:v>Autre</x:v>
      </x:c>
      <x:c r="C12" t="str"/>
      <x:c r="D12" t="str"/>
    </x:row>
  </x:sheetData>
  <x:mergeCells>
    <x:mergeCell ref="F1:H2"/>
  </x:mergeCells>
  <x:pageMargins left="0.7" right="0.7" top="0.75" bottom="0.75" header="0.3" footer="0.3"/>
</x:worksheet>
</file>