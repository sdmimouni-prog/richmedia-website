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d5452d0b0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d5c3bceb56487d"/>
    <x:sheet xmlns:r="http://schemas.openxmlformats.org/officeDocument/2006/relationships" name="Performance_Canal" sheetId="2" r:id="R68998d5eeee148a0"/>
    <x:sheet xmlns:r="http://schemas.openxmlformats.org/officeDocument/2006/relationships" name="Qualite_Leads" sheetId="3" r:id="R4f1d912030a64ebf"/>
    <x:sheet xmlns:r="http://schemas.openxmlformats.org/officeDocument/2006/relationships" name="Forecast_vs_Reel" sheetId="4" r:id="R73e400ed69224a1d"/>
    <x:sheet xmlns:r="http://schemas.openxmlformats.org/officeDocument/2006/relationships" name="Benchmarks_2026" sheetId="5" r:id="Re89891722d1449ed"/>
    <x:sheet xmlns:r="http://schemas.openxmlformats.org/officeDocument/2006/relationships" name="Parametres" sheetId="6" r:id="R1214e41620334697"/>
    <x:sheet xmlns:r="http://schemas.openxmlformats.org/officeDocument/2006/relationships" name="Mode_emploi" sheetId="7" r:id="R592c918ffe29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0.0 &quot;MAD&quot;"/>
    <x:numFmt numFmtId="202" formatCode="0.0%"/>
    <x:numFmt numFmtId="203" formatCode="0 &quot;MAD&quot;"/>
    <x:numFmt numFmtId="204" formatCode="0.00x"/>
    <x:numFmt numFmtId="205" formatCode="#,##0.00 &quot;MAD&quot;"/>
    <x:numFmt numFmtId="206" formatCode="#,##0"/>
    <x:numFmt numFmtId="207" formatCode="#,##0 &quot;MAD&quot;"/>
  </x:numFmts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D6D6DF"/>
      <x:name val="Carlito"/>
    </x:font>
    <x:font>
      <x:b/>
      <x:sz val="11"/>
      <x:color rgb="FF17171F"/>
      <x:name val="Carlito"/>
    </x:font>
    <x:font>
      <x:b/>
      <x:sz val="11"/>
      <x:color rgb="FFFFFFFF"/>
      <x:name val="Carlito"/>
    </x:font>
    <x:font>
      <x:i/>
      <x:sz val="11"/>
      <x:color rgb="FF17171F"/>
      <x:name val="Carlito"/>
    </x:font>
    <x:font>
      <x:b/>
      <x:sz val="10"/>
      <x:color rgb="FF6B6B76"/>
      <x:name val="Carlito"/>
    </x:font>
    <x:font>
      <x:b/>
      <x:sz val="18"/>
      <x:color rgb="FF17171F"/>
      <x:name val="Carlito"/>
    </x:font>
    <x:font>
      <x:b/>
      <x:sz val="14"/>
      <x:color rgb="FF17171F"/>
      <x:name val="Carlito"/>
    </x:font>
    <x:font>
      <x:i/>
      <x:sz val="11"/>
      <x:color rgb="FF6B6B7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0B12"/>
      </x:patternFill>
    </x:fill>
    <x:fill>
      <x:patternFill patternType="solid">
        <x:fgColor rgb="FFECECF2"/>
      </x:patternFill>
    </x:fill>
    <x:fill>
      <x:patternFill patternType="solid">
        <x:fgColor rgb="FFFFF9E8"/>
      </x:patternFill>
    </x:fill>
    <x:fill>
      <x:patternFill patternType="solid">
        <x:fgColor rgb="FF6C3CF5"/>
      </x:patternFill>
    </x:fill>
    <x:fill>
      <x:patternFill patternType="solid">
        <x:fgColor rgb="FFEEE9FF"/>
      </x:patternFill>
    </x:fill>
    <x:fill>
      <x:patternFill patternType="solid">
        <x:fgColor rgb="FFF0F3F8"/>
      </x:patternFill>
    </x:fill>
    <x:fill>
      <x:patternFill patternType="solid">
        <x:fgColor rgb="FFFFFFFF"/>
      </x:patternFill>
    </x:fill>
    <x:fill>
      <x:patternFill patternType="solid">
        <x:fgColor rgb="FFF8F6FF"/>
      </x:patternFill>
    </x:fill>
    <x:fill>
      <x:patternFill patternType="solid">
        <x:fgColor rgb="FFF5F5F8"/>
      </x:patternFill>
    </x:fill>
  </x:fills>
  <x:borders count="12">
    <x:border/>
    <x:border/>
    <x:border>
      <x:bottom style="thin">
        <x:color rgb="FFDDDDE5"/>
      </x:bottom>
    </x:border>
    <x:border>
      <x:bottom style="thin">
        <x:color rgb="FFDDDDE5"/>
      </x:bottom>
    </x:border>
    <x:border>
      <x:left style="thin">
        <x:color rgb="FFDDDDE5"/>
      </x:left>
    </x:border>
    <x:border>
      <x:right style="thin">
        <x:color rgb="FFDDDDE5"/>
      </x:right>
    </x:border>
    <x:border>
      <x:left style="thin">
        <x:color rgb="FFDDDDE5"/>
      </x:left>
      <x:bottom style="thin">
        <x:color rgb="FFDDDDE5"/>
      </x:bottom>
    </x:border>
    <x:border>
      <x:right style="thin">
        <x:color rgb="FFDDDDE5"/>
      </x:right>
      <x:bottom style="thin">
        <x:color rgb="FFDDDDE5"/>
      </x:bottom>
    </x:border>
    <x:border>
      <x:left style="thin">
        <x:color rgb="FFDDDDE5"/>
      </x:left>
    </x:border>
    <x:border>
      <x:right style="thin">
        <x:color rgb="FFDDDDE5"/>
      </x:right>
    </x:border>
    <x:border>
      <x:left style="thin">
        <x:color rgb="FFDDDDE5"/>
      </x:left>
      <x:bottom style="thin">
        <x:color rgb="FFDDDDE5"/>
      </x:bottom>
    </x:border>
    <x:border>
      <x:right style="thin">
        <x:color rgb="FFDDDDE5"/>
      </x:right>
      <x:bottom style="thin">
        <x:color rgb="FFDDDDE5"/>
      </x:bottom>
    </x:border>
  </x:borders>
  <x:cellStyleXfs count="1">
    <x:xf numFmtId="0" fontId="0" fillId="0" borderId="0"/>
  </x:cellStyleXfs>
  <x:cellXfs count="2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4" borderId="0" xfId="0" applyNumberFormat="1" applyFont="1" applyFill="1" applyBorder="1"/>
    <x:xf numFmtId="205" fontId="0" fillId="4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4" borderId="0" xfId="0" applyNumberFormat="1" applyFont="1" applyFill="1" applyBorder="1"/>
    <x:xf numFmtId="206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2" fontId="4" fillId="2" borderId="0" xfId="0" applyNumberFormat="1" applyFont="1" applyFill="1" applyBorder="1"/>
    <x:xf numFmtId="202" fontId="4" fillId="2" borderId="1" xfId="0" applyNumberFormat="1" applyFont="1" applyFill="1" applyBorder="1"/>
    <x:xf numFmtId="204" fontId="4" fillId="2" borderId="0" xfId="0" applyNumberFormat="1" applyFont="1" applyFill="1" applyBorder="1"/>
    <x:xf numFmtId="204" fontId="4" fillId="2" borderId="1" xfId="0" applyNumberFormat="1" applyFont="1" applyFill="1" applyBorder="1"/>
    <x:xf numFmtId="205" fontId="4" fillId="2" borderId="0" xfId="0" applyNumberFormat="1" applyFont="1" applyFill="1" applyBorder="1"/>
    <x:xf numFmtId="205" fontId="4" fillId="2" borderId="1" xfId="0" applyNumberFormat="1" applyFont="1" applyFill="1" applyBorder="1"/>
    <x:xf numFmtId="206" fontId="4" fillId="2" borderId="0" xfId="0" applyNumberFormat="1" applyFont="1" applyFill="1" applyBorder="1"/>
    <x:xf numFmtId="206" fontId="4" fillId="2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6" fontId="0" fillId="7" borderId="0" xfId="0" applyNumberFormat="1" applyFont="1" applyFill="1" applyBorder="1"/>
    <x:xf numFmtId="206" fontId="0" fillId="7" borderId="1" xfId="0" applyNumberFormat="1" applyFont="1" applyFill="1" applyBorder="1"/>
    <x:xf numFmtId="205" fontId="0" fillId="7" borderId="0" xfId="0" applyNumberFormat="1" applyFont="1" applyFill="1" applyBorder="1"/>
    <x:xf numFmtId="205" fontId="0" fillId="7" borderId="1" xfId="0" applyNumberFormat="1" applyFont="1" applyFill="1" applyBorder="1"/>
    <x:xf numFmtId="202" fontId="0" fillId="4" borderId="0" xfId="0" applyNumberFormat="1" applyFont="1" applyFill="1" applyBorder="1"/>
    <x:xf numFmtId="202" fontId="0" fillId="7" borderId="0" xfId="0" applyNumberFormat="1" applyFont="1" applyFill="1" applyBorder="1"/>
    <x:xf numFmtId="202" fontId="0" fillId="4" borderId="1" xfId="0" applyNumberFormat="1" applyFont="1" applyFill="1" applyBorder="1"/>
    <x:xf numFmtId="202" fontId="0" fillId="7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2" xfId="0" applyNumberFormat="1" applyFont="1" applyFill="1" applyBorder="1"/>
    <x:xf numFmtId="0" fontId="7" fillId="8" borderId="7" xfId="0" applyNumberFormat="1" applyFont="1" applyFill="1" applyBorder="1"/>
    <x:xf numFmtId="0" fontId="7" fillId="8" borderId="4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 applyAlignment="1">
      <x:alignment horizontal="center"/>
    </x:xf>
    <x:xf numFmtId="0" fontId="7" fillId="8" borderId="6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/>
    </x:xf>
    <x:xf numFmtId="0" fontId="7" fillId="8" borderId="7" xfId="0" applyNumberFormat="1" applyFont="1" applyFill="1" applyBorder="1" applyAlignment="1">
      <x:alignment horizont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7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3" xfId="0" applyNumberFormat="1" applyFont="1" applyFill="1" applyBorder="1"/>
    <x:xf numFmtId="0" fontId="7" fillId="8" borderId="11" xfId="0" applyNumberFormat="1" applyFont="1" applyFill="1" applyBorder="1"/>
    <x:xf numFmtId="0" fontId="7" fillId="8" borderId="8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/>
    </x:xf>
    <x:xf numFmtId="0" fontId="7" fillId="8" borderId="9" xfId="0" applyNumberFormat="1" applyFont="1" applyFill="1" applyBorder="1" applyAlignment="1">
      <x:alignment horizontal="center"/>
    </x:xf>
    <x:xf numFmtId="0" fontId="7" fillId="8" borderId="10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11" xfId="0" applyNumberFormat="1" applyFont="1" applyFill="1" applyBorder="1" applyAlignment="1">
      <x:alignment horizontal="center"/>
    </x:xf>
    <x:xf numFmtId="0" fontId="7" fillId="8" borderId="8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7" fillId="8" borderId="9" xfId="0" applyNumberFormat="1" applyFont="1" applyFill="1" applyBorder="1" applyAlignment="1">
      <x:alignment horizontal="center" vertical="center"/>
    </x:xf>
    <x:xf numFmtId="0" fontId="7" fillId="8" borderId="10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11" xfId="0" applyNumberFormat="1" applyFont="1" applyFill="1" applyBorder="1" applyAlignment="1">
      <x:alignment horizontal="center" vertical="center"/>
    </x:xf>
    <x:xf numFmtId="207" fontId="7" fillId="8" borderId="4" xfId="0" applyNumberFormat="1" applyFont="1" applyFill="1" applyBorder="1" applyAlignment="1">
      <x:alignment horizontal="center" vertical="center"/>
    </x:xf>
    <x:xf numFmtId="207" fontId="7" fillId="8" borderId="0" xfId="0" applyNumberFormat="1" applyFont="1" applyFill="1" applyBorder="1" applyAlignment="1">
      <x:alignment horizontal="center" vertical="center"/>
    </x:xf>
    <x:xf numFmtId="207" fontId="7" fillId="8" borderId="5" xfId="0" applyNumberFormat="1" applyFont="1" applyFill="1" applyBorder="1" applyAlignment="1">
      <x:alignment horizontal="center" vertical="center"/>
    </x:xf>
    <x:xf numFmtId="207" fontId="7" fillId="8" borderId="6" xfId="0" applyNumberFormat="1" applyFont="1" applyFill="1" applyBorder="1" applyAlignment="1">
      <x:alignment horizontal="center" vertical="center"/>
    </x:xf>
    <x:xf numFmtId="207" fontId="7" fillId="8" borderId="2" xfId="0" applyNumberFormat="1" applyFont="1" applyFill="1" applyBorder="1" applyAlignment="1">
      <x:alignment horizontal="center" vertical="center"/>
    </x:xf>
    <x:xf numFmtId="207" fontId="7" fillId="8" borderId="7" xfId="0" applyNumberFormat="1" applyFont="1" applyFill="1" applyBorder="1" applyAlignment="1">
      <x:alignment horizontal="center" vertical="center"/>
    </x:xf>
    <x:xf numFmtId="207" fontId="7" fillId="8" borderId="8" xfId="0" applyNumberFormat="1" applyFont="1" applyFill="1" applyBorder="1" applyAlignment="1">
      <x:alignment horizontal="center" vertical="center"/>
    </x:xf>
    <x:xf numFmtId="207" fontId="7" fillId="8" borderId="1" xfId="0" applyNumberFormat="1" applyFont="1" applyFill="1" applyBorder="1" applyAlignment="1">
      <x:alignment horizontal="center" vertical="center"/>
    </x:xf>
    <x:xf numFmtId="207" fontId="7" fillId="8" borderId="9" xfId="0" applyNumberFormat="1" applyFont="1" applyFill="1" applyBorder="1" applyAlignment="1">
      <x:alignment horizontal="center" vertical="center"/>
    </x:xf>
    <x:xf numFmtId="207" fontId="7" fillId="8" borderId="10" xfId="0" applyNumberFormat="1" applyFont="1" applyFill="1" applyBorder="1" applyAlignment="1">
      <x:alignment horizontal="center" vertical="center"/>
    </x:xf>
    <x:xf numFmtId="207" fontId="7" fillId="8" borderId="3" xfId="0" applyNumberFormat="1" applyFont="1" applyFill="1" applyBorder="1" applyAlignment="1">
      <x:alignment horizontal="center" vertical="center"/>
    </x:xf>
    <x:xf numFmtId="207" fontId="7" fillId="8" borderId="11" xfId="0" applyNumberFormat="1" applyFont="1" applyFill="1" applyBorder="1" applyAlignment="1">
      <x:alignment horizontal="center" vertical="center"/>
    </x:xf>
    <x:xf numFmtId="206" fontId="7" fillId="8" borderId="4" xfId="0" applyNumberFormat="1" applyFont="1" applyFill="1" applyBorder="1" applyAlignment="1">
      <x:alignment horizontal="center" vertical="center"/>
    </x:xf>
    <x:xf numFmtId="206" fontId="7" fillId="8" borderId="0" xfId="0" applyNumberFormat="1" applyFont="1" applyFill="1" applyBorder="1" applyAlignment="1">
      <x:alignment horizontal="center" vertical="center"/>
    </x:xf>
    <x:xf numFmtId="206" fontId="7" fillId="8" borderId="5" xfId="0" applyNumberFormat="1" applyFont="1" applyFill="1" applyBorder="1" applyAlignment="1">
      <x:alignment horizontal="center" vertical="center"/>
    </x:xf>
    <x:xf numFmtId="206" fontId="7" fillId="8" borderId="6" xfId="0" applyNumberFormat="1" applyFont="1" applyFill="1" applyBorder="1" applyAlignment="1">
      <x:alignment horizontal="center" vertical="center"/>
    </x:xf>
    <x:xf numFmtId="206" fontId="7" fillId="8" borderId="2" xfId="0" applyNumberFormat="1" applyFont="1" applyFill="1" applyBorder="1" applyAlignment="1">
      <x:alignment horizontal="center" vertical="center"/>
    </x:xf>
    <x:xf numFmtId="206" fontId="7" fillId="8" borderId="7" xfId="0" applyNumberFormat="1" applyFont="1" applyFill="1" applyBorder="1" applyAlignment="1">
      <x:alignment horizontal="center" vertical="center"/>
    </x:xf>
    <x:xf numFmtId="206" fontId="7" fillId="8" borderId="8" xfId="0" applyNumberFormat="1" applyFont="1" applyFill="1" applyBorder="1" applyAlignment="1">
      <x:alignment horizontal="center" vertical="center"/>
    </x:xf>
    <x:xf numFmtId="206" fontId="7" fillId="8" borderId="1" xfId="0" applyNumberFormat="1" applyFont="1" applyFill="1" applyBorder="1" applyAlignment="1">
      <x:alignment horizontal="center" vertical="center"/>
    </x:xf>
    <x:xf numFmtId="206" fontId="7" fillId="8" borderId="9" xfId="0" applyNumberFormat="1" applyFont="1" applyFill="1" applyBorder="1" applyAlignment="1">
      <x:alignment horizontal="center" vertical="center"/>
    </x:xf>
    <x:xf numFmtId="206" fontId="7" fillId="8" borderId="10" xfId="0" applyNumberFormat="1" applyFont="1" applyFill="1" applyBorder="1" applyAlignment="1">
      <x:alignment horizontal="center" vertical="center"/>
    </x:xf>
    <x:xf numFmtId="206" fontId="7" fillId="8" borderId="3" xfId="0" applyNumberFormat="1" applyFont="1" applyFill="1" applyBorder="1" applyAlignment="1">
      <x:alignment horizontal="center" vertical="center"/>
    </x:xf>
    <x:xf numFmtId="206" fontId="7" fillId="8" borderId="11" xfId="0" applyNumberFormat="1" applyFont="1" applyFill="1" applyBorder="1" applyAlignment="1">
      <x:alignment horizontal="center" vertical="center"/>
    </x:xf>
    <x:xf numFmtId="202" fontId="7" fillId="8" borderId="4" xfId="0" applyNumberFormat="1" applyFont="1" applyFill="1" applyBorder="1" applyAlignment="1">
      <x:alignment horizontal="center" vertical="center"/>
    </x:xf>
    <x:xf numFmtId="202" fontId="7" fillId="8" borderId="0" xfId="0" applyNumberFormat="1" applyFont="1" applyFill="1" applyBorder="1" applyAlignment="1">
      <x:alignment horizontal="center" vertical="center"/>
    </x:xf>
    <x:xf numFmtId="202" fontId="7" fillId="8" borderId="5" xfId="0" applyNumberFormat="1" applyFont="1" applyFill="1" applyBorder="1" applyAlignment="1">
      <x:alignment horizontal="center" vertical="center"/>
    </x:xf>
    <x:xf numFmtId="202" fontId="7" fillId="8" borderId="6" xfId="0" applyNumberFormat="1" applyFont="1" applyFill="1" applyBorder="1" applyAlignment="1">
      <x:alignment horizontal="center" vertical="center"/>
    </x:xf>
    <x:xf numFmtId="202" fontId="7" fillId="8" borderId="2" xfId="0" applyNumberFormat="1" applyFont="1" applyFill="1" applyBorder="1" applyAlignment="1">
      <x:alignment horizontal="center" vertical="center"/>
    </x:xf>
    <x:xf numFmtId="202" fontId="7" fillId="8" borderId="7" xfId="0" applyNumberFormat="1" applyFont="1" applyFill="1" applyBorder="1" applyAlignment="1">
      <x:alignment horizontal="center" vertical="center"/>
    </x:xf>
    <x:xf numFmtId="202" fontId="7" fillId="8" borderId="8" xfId="0" applyNumberFormat="1" applyFont="1" applyFill="1" applyBorder="1" applyAlignment="1">
      <x:alignment horizontal="center" vertical="center"/>
    </x:xf>
    <x:xf numFmtId="202" fontId="7" fillId="8" borderId="1" xfId="0" applyNumberFormat="1" applyFont="1" applyFill="1" applyBorder="1" applyAlignment="1">
      <x:alignment horizontal="center" vertical="center"/>
    </x:xf>
    <x:xf numFmtId="202" fontId="7" fillId="8" borderId="9" xfId="0" applyNumberFormat="1" applyFont="1" applyFill="1" applyBorder="1" applyAlignment="1">
      <x:alignment horizontal="center" vertical="center"/>
    </x:xf>
    <x:xf numFmtId="202" fontId="7" fillId="8" borderId="10" xfId="0" applyNumberFormat="1" applyFont="1" applyFill="1" applyBorder="1" applyAlignment="1">
      <x:alignment horizontal="center" vertical="center"/>
    </x:xf>
    <x:xf numFmtId="202" fontId="7" fillId="8" borderId="3" xfId="0" applyNumberFormat="1" applyFont="1" applyFill="1" applyBorder="1" applyAlignment="1">
      <x:alignment horizontal="center" vertical="center"/>
    </x:xf>
    <x:xf numFmtId="202" fontId="7" fillId="8" borderId="11" xfId="0" applyNumberFormat="1" applyFont="1" applyFill="1" applyBorder="1" applyAlignment="1">
      <x:alignment horizontal="center" vertical="center"/>
    </x:xf>
    <x:xf numFmtId="205" fontId="7" fillId="8" borderId="4" xfId="0" applyNumberFormat="1" applyFont="1" applyFill="1" applyBorder="1" applyAlignment="1">
      <x:alignment horizontal="center" vertical="center"/>
    </x:xf>
    <x:xf numFmtId="205" fontId="7" fillId="8" borderId="0" xfId="0" applyNumberFormat="1" applyFont="1" applyFill="1" applyBorder="1" applyAlignment="1">
      <x:alignment horizontal="center" vertical="center"/>
    </x:xf>
    <x:xf numFmtId="205" fontId="7" fillId="8" borderId="5" xfId="0" applyNumberFormat="1" applyFont="1" applyFill="1" applyBorder="1" applyAlignment="1">
      <x:alignment horizontal="center" vertical="center"/>
    </x:xf>
    <x:xf numFmtId="205" fontId="7" fillId="8" borderId="6" xfId="0" applyNumberFormat="1" applyFont="1" applyFill="1" applyBorder="1" applyAlignment="1">
      <x:alignment horizontal="center" vertical="center"/>
    </x:xf>
    <x:xf numFmtId="205" fontId="7" fillId="8" borderId="2" xfId="0" applyNumberFormat="1" applyFont="1" applyFill="1" applyBorder="1" applyAlignment="1">
      <x:alignment horizontal="center" vertical="center"/>
    </x:xf>
    <x:xf numFmtId="205" fontId="7" fillId="8" borderId="7" xfId="0" applyNumberFormat="1" applyFont="1" applyFill="1" applyBorder="1" applyAlignment="1">
      <x:alignment horizontal="center" vertical="center"/>
    </x:xf>
    <x:xf numFmtId="205" fontId="7" fillId="8" borderId="8" xfId="0" applyNumberFormat="1" applyFont="1" applyFill="1" applyBorder="1" applyAlignment="1">
      <x:alignment horizontal="center" vertical="center"/>
    </x:xf>
    <x:xf numFmtId="205" fontId="7" fillId="8" borderId="1" xfId="0" applyNumberFormat="1" applyFont="1" applyFill="1" applyBorder="1" applyAlignment="1">
      <x:alignment horizontal="center" vertical="center"/>
    </x:xf>
    <x:xf numFmtId="205" fontId="7" fillId="8" borderId="9" xfId="0" applyNumberFormat="1" applyFont="1" applyFill="1" applyBorder="1" applyAlignment="1">
      <x:alignment horizontal="center" vertical="center"/>
    </x:xf>
    <x:xf numFmtId="205" fontId="7" fillId="8" borderId="10" xfId="0" applyNumberFormat="1" applyFont="1" applyFill="1" applyBorder="1" applyAlignment="1">
      <x:alignment horizontal="center" vertical="center"/>
    </x:xf>
    <x:xf numFmtId="205" fontId="7" fillId="8" borderId="3" xfId="0" applyNumberFormat="1" applyFont="1" applyFill="1" applyBorder="1" applyAlignment="1">
      <x:alignment horizontal="center" vertical="center"/>
    </x:xf>
    <x:xf numFmtId="205" fontId="7" fillId="8" borderId="11" xfId="0" applyNumberFormat="1" applyFont="1" applyFill="1" applyBorder="1" applyAlignment="1">
      <x:alignment horizontal="center" vertical="center"/>
    </x:xf>
    <x:xf numFmtId="204" fontId="7" fillId="8" borderId="4" xfId="0" applyNumberFormat="1" applyFont="1" applyFill="1" applyBorder="1" applyAlignment="1">
      <x:alignment horizontal="center" vertical="center"/>
    </x:xf>
    <x:xf numFmtId="204" fontId="7" fillId="8" borderId="0" xfId="0" applyNumberFormat="1" applyFont="1" applyFill="1" applyBorder="1" applyAlignment="1">
      <x:alignment horizontal="center" vertical="center"/>
    </x:xf>
    <x:xf numFmtId="204" fontId="7" fillId="8" borderId="5" xfId="0" applyNumberFormat="1" applyFont="1" applyFill="1" applyBorder="1" applyAlignment="1">
      <x:alignment horizontal="center" vertical="center"/>
    </x:xf>
    <x:xf numFmtId="204" fontId="7" fillId="8" borderId="6" xfId="0" applyNumberFormat="1" applyFont="1" applyFill="1" applyBorder="1" applyAlignment="1">
      <x:alignment horizontal="center" vertical="center"/>
    </x:xf>
    <x:xf numFmtId="204" fontId="7" fillId="8" borderId="2" xfId="0" applyNumberFormat="1" applyFont="1" applyFill="1" applyBorder="1" applyAlignment="1">
      <x:alignment horizontal="center" vertical="center"/>
    </x:xf>
    <x:xf numFmtId="204" fontId="7" fillId="8" borderId="7" xfId="0" applyNumberFormat="1" applyFont="1" applyFill="1" applyBorder="1" applyAlignment="1">
      <x:alignment horizontal="center" vertical="center"/>
    </x:xf>
    <x:xf numFmtId="204" fontId="7" fillId="8" borderId="8" xfId="0" applyNumberFormat="1" applyFont="1" applyFill="1" applyBorder="1" applyAlignment="1">
      <x:alignment horizontal="center" vertical="center"/>
    </x:xf>
    <x:xf numFmtId="204" fontId="7" fillId="8" borderId="1" xfId="0" applyNumberFormat="1" applyFont="1" applyFill="1" applyBorder="1" applyAlignment="1">
      <x:alignment horizontal="center" vertical="center"/>
    </x:xf>
    <x:xf numFmtId="204" fontId="7" fillId="8" borderId="9" xfId="0" applyNumberFormat="1" applyFont="1" applyFill="1" applyBorder="1" applyAlignment="1">
      <x:alignment horizontal="center" vertical="center"/>
    </x:xf>
    <x:xf numFmtId="204" fontId="7" fillId="8" borderId="10" xfId="0" applyNumberFormat="1" applyFont="1" applyFill="1" applyBorder="1" applyAlignment="1">
      <x:alignment horizontal="center" vertical="center"/>
    </x:xf>
    <x:xf numFmtId="204" fontId="7" fillId="8" borderId="3" xfId="0" applyNumberFormat="1" applyFont="1" applyFill="1" applyBorder="1" applyAlignment="1">
      <x:alignment horizontal="center" vertical="center"/>
    </x:xf>
    <x:xf numFmtId="204" fontId="7" fillId="8" borderId="11" xfId="0" applyNumberFormat="1" applyFont="1" applyFill="1" applyBorder="1" applyAlignment="1">
      <x:alignment horizontal="center"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0" fillId="6" borderId="0" xfId="0" applyNumberFormat="1" applyFont="1" applyFill="1" applyBorder="1"/>
    <x:xf numFmtId="207" fontId="8" fillId="6" borderId="0" xfId="0" applyNumberFormat="1" applyFont="1" applyFill="1" applyBorder="1"/>
    <x:xf numFmtId="207" fontId="8" fillId="6" borderId="0" xfId="0" applyNumberFormat="1" applyFont="1" applyFill="1" applyBorder="1" applyAlignment="1">
      <x:alignment horizontal="center"/>
    </x:xf>
    <x:xf numFmtId="207" fontId="0" fillId="6" borderId="1" xfId="0" applyNumberFormat="1" applyFont="1" applyFill="1" applyBorder="1"/>
    <x:xf numFmtId="207" fontId="8" fillId="6" borderId="1" xfId="0" applyNumberFormat="1" applyFont="1" applyFill="1" applyBorder="1"/>
    <x:xf numFmtId="207" fontId="8" fillId="6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vertical="center" wrapText="1"/>
    </x:xf>
    <x:xf numFmtId="206" fontId="0" fillId="8" borderId="0" xfId="0" applyNumberFormat="1" applyFont="1" applyFill="1" applyBorder="1"/>
    <x:xf numFmtId="202" fontId="0" fillId="8" borderId="0" xfId="0" applyNumberFormat="1" applyFont="1" applyFill="1" applyBorder="1"/>
    <x:xf numFmtId="206" fontId="3" fillId="8" borderId="0" xfId="0" applyNumberFormat="1" applyFont="1" applyFill="1" applyBorder="1"/>
    <x:xf numFmtId="202" fontId="3" fillId="8" borderId="0" xfId="0" applyNumberFormat="1" applyFont="1" applyFill="1" applyBorder="1"/>
    <x:xf numFmtId="206" fontId="3" fillId="8" borderId="0" xfId="0" applyNumberFormat="1" applyFont="1" applyFill="1" applyBorder="1" applyAlignment="1">
      <x:alignment horizontal="center"/>
    </x:xf>
    <x:xf numFmtId="202" fontId="3" fillId="8" borderId="0" xfId="0" applyNumberFormat="1" applyFont="1" applyFill="1" applyBorder="1" applyAlignment="1">
      <x:alignment horizontal="center"/>
    </x:xf>
    <x:xf numFmtId="206" fontId="0" fillId="8" borderId="1" xfId="0" applyNumberFormat="1" applyFont="1" applyFill="1" applyBorder="1"/>
    <x:xf numFmtId="202" fontId="0" fillId="8" borderId="1" xfId="0" applyNumberFormat="1" applyFont="1" applyFill="1" applyBorder="1"/>
    <x:xf numFmtId="206" fontId="3" fillId="8" borderId="1" xfId="0" applyNumberFormat="1" applyFont="1" applyFill="1" applyBorder="1"/>
    <x:xf numFmtId="202" fontId="3" fillId="8" borderId="1" xfId="0" applyNumberFormat="1" applyFont="1" applyFill="1" applyBorder="1"/>
    <x:xf numFmtId="206" fontId="3" fillId="8" borderId="1" xfId="0" applyNumberFormat="1" applyFont="1" applyFill="1" applyBorder="1" applyAlignment="1">
      <x:alignment horizontal="center"/>
    </x:xf>
    <x:xf numFmtId="202" fontId="3" fillId="8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204" fontId="0" fillId="4" borderId="0" xfId="0" applyNumberFormat="1" applyFont="1" applyFill="1" applyBorder="1"/>
    <x:xf numFmtId="204" fontId="0" fillId="7" borderId="0" xfId="0" applyNumberFormat="1" applyFont="1" applyFill="1" applyBorder="1"/>
    <x:xf numFmtId="204" fontId="0" fillId="4" borderId="1" xfId="0" applyNumberFormat="1" applyFont="1" applyFill="1" applyBorder="1"/>
    <x:xf numFmtId="204" fontId="0" fillId="7" borderId="1" xfId="0" applyNumberFormat="1" applyFont="1" applyFill="1" applyBorder="1"/>
  </x:cellXfs>
  <x:cellStyles count="1">
    <x:cellStyle name="Normal" xfId="0"/>
  </x:cellStyles>
  <x:dxfs count="6">
    <x:dxf>
      <x:font>
        <x:color rgb="FF177245"/>
      </x:font>
      <x:fill>
        <x:patternFill patternType="solid">
          <x:bgColor rgb="FFEAF7EF"/>
        </x:patternFill>
      </x:fill>
    </x:dxf>
    <x:dxf>
      <x:font>
        <x:color rgb="FFA65A00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177245"/>
      </x:font>
      <x:fill>
        <x:patternFill patternType="solid">
          <x:bgColor rgb="FFEAF7EF"/>
        </x:patternFill>
      </x:fill>
    </x:dxf>
    <x:dxf>
      <x:font>
        <x:color rgb="FFA65A00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fe75061d74170" /><Relationship Type="http://schemas.openxmlformats.org/officeDocument/2006/relationships/theme" Target="/xl/theme/theme1.xml" Id="Rcb7b1001b1664c31" /><Relationship Type="http://schemas.openxmlformats.org/officeDocument/2006/relationships/sharedStrings" Target="/xl/sharedStrings.xml" Id="R679cd2f23bdf45b7" /><Relationship Type="http://schemas.openxmlformats.org/officeDocument/2006/relationships/worksheet" Target="/xl/worksheets/sheet1.xml" Id="R81d5c3bceb56487d" /><Relationship Type="http://schemas.openxmlformats.org/officeDocument/2006/relationships/worksheet" Target="/xl/worksheets/sheet2.xml" Id="R68998d5eeee148a0" /><Relationship Type="http://schemas.openxmlformats.org/officeDocument/2006/relationships/worksheet" Target="/xl/worksheets/sheet3.xml" Id="R4f1d912030a64ebf" /><Relationship Type="http://schemas.openxmlformats.org/officeDocument/2006/relationships/worksheet" Target="/xl/worksheets/sheet4.xml" Id="R73e400ed69224a1d" /><Relationship Type="http://schemas.openxmlformats.org/officeDocument/2006/relationships/worksheet" Target="/xl/worksheets/sheet5.xml" Id="Re89891722d1449ed" /><Relationship Type="http://schemas.openxmlformats.org/officeDocument/2006/relationships/worksheet" Target="/xl/worksheets/sheet6.xml" Id="R1214e41620334697" /><Relationship Type="http://schemas.openxmlformats.org/officeDocument/2006/relationships/worksheet" Target="/xl/worksheets/sheet7.xml" Id="R592c918ffe294d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60c50fd1374f76" /><Relationship Type="http://schemas.openxmlformats.org/officeDocument/2006/relationships/chart" Target="/xl/drawings/charts/chart2.xml" Id="R5596bd777f084d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dépensé par canal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'Dashboard'!$P$6:$P$14</c:f>
              <c:strCache>
                <c:ptCount val="0"/>
              </c:strCache>
            </c:strRef>
          </c:cat>
          <c:val>
            <c:numRef>
              <c:f>'Dashboard'!$Q$6:$Q$14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Leads générés par canal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Leads</c:v>
          </c:tx>
          <c:cat>
            <c:strRef>
              <c:f>'Dashboard'!$T$6:$T$14</c:f>
              <c:strCache>
                <c:ptCount val="0"/>
              </c:strCache>
            </c:strRef>
          </c:cat>
          <c:val>
            <c:numRef>
              <c:f>'Dashboard'!$U$6:$U$14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60c50fd1374f76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96bd777f084d5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230d2c08aa402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6" max="16" width="20" hidden="0" customWidth="1"/>
    <x:col min="17" max="17" width="14" hidden="0" customWidth="1"/>
    <x:col min="18" max="18" width="14" hidden="0" customWidth="1"/>
    <x:col min="20" max="20" width="20" hidden="0" customWidth="1"/>
    <x:col min="21" max="21" width="14" hidden="0" customWidth="1"/>
  </x:cols>
  <x:sheetData>
    <x:row r="1">
      <x:c r="A1" s="4" t="str">
        <x:v>RICHMEDIA | Dashboard KPI Marketing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9" t="str">
        <x:v>Vue Direction Marketing — du média à la valeur business.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>
      <x:c r="A5" s="17" t="str">
        <x:v>Campagne / Marque</x:v>
      </x:c>
      <x:c r="B5" s="17" t="str">
        <x:v>Période</x:v>
      </x:c>
      <x:c r="C5" s="17" t="str">
        <x:v>Secteur</x:v>
      </x:c>
      <x:c r="D5" s="17" t="str">
        <x:v>Devise</x:v>
      </x:c>
      <x:c r="P5" s="17" t="str">
        <x:v>Canal</x:v>
      </x:c>
      <x:c r="Q5" s="17" t="str">
        <x:v>Budget</x:v>
      </x:c>
      <x:c r="R5" s="17" t="str">
        <x:v>Leads</x:v>
      </x:c>
      <x:c r="T5" s="17" t="str">
        <x:v>Canal</x:v>
      </x:c>
      <x:c r="U5" s="17" t="str">
        <x:v>Leads</x:v>
      </x:c>
    </x:row>
    <x:row r="6">
      <x:c r="A6" s="78" t="str">
        <x:f>IF(Parametres!B6="","",Parametres!B6)</x:f>
      </x:c>
      <x:c r="B6" s="78" t="str">
        <x:f>IF(Parametres!B7="","",Parametres!B7)</x:f>
      </x:c>
      <x:c r="C6" s="78" t="str">
        <x:f>Parametres!B8</x:f>
        <x:v>Éducation - Bachelier</x:v>
      </x:c>
      <x:c r="D6" s="78" t="str">
        <x:f>Parametres!B9</x:f>
        <x:v>MAD</x:v>
      </x:c>
      <x:c r="P6" t="str">
        <x:f>Performance_Canal!A6</x:f>
        <x:v>Meta Ads</x:v>
      </x:c>
      <x:c r="Q6" t="n">
        <x:f>Performance_Canal!B6</x:f>
        <x:v>0</x:v>
      </x:c>
      <x:c r="R6" t="n">
        <x:f>Performance_Canal!G6</x:f>
        <x:v>0</x:v>
      </x:c>
      <x:c r="T6" t="str">
        <x:f>Performance_Canal!A6</x:f>
        <x:v>Meta Ads</x:v>
      </x:c>
      <x:c r="U6" t="n">
        <x:f>Performance_Canal!G6</x:f>
        <x:v>0</x:v>
      </x:c>
    </x:row>
    <x:row r="7">
      <x:c r="P7" t="str">
        <x:f>Performance_Canal!A7</x:f>
        <x:v>Google Ads</x:v>
      </x:c>
      <x:c r="Q7" t="n">
        <x:f>Performance_Canal!B7</x:f>
        <x:v>0</x:v>
      </x:c>
      <x:c r="R7" t="n">
        <x:f>Performance_Canal!G7</x:f>
        <x:v>0</x:v>
      </x:c>
      <x:c r="T7" t="str">
        <x:f>Performance_Canal!A7</x:f>
        <x:v>Google Ads</x:v>
      </x:c>
      <x:c r="U7" t="n">
        <x:f>Performance_Canal!G7</x:f>
        <x:v>0</x:v>
      </x:c>
    </x:row>
    <x:row r="8">
      <x:c r="A8" s="92" t="str">
        <x:v>Budget dépensé</x:v>
      </x:c>
      <x:c r="B8" s="92"/>
      <x:c r="C8" s="92"/>
      <x:c r="D8" s="92" t="str">
        <x:v>Impressions</x:v>
      </x:c>
      <x:c r="E8" s="92"/>
      <x:c r="F8" s="92"/>
      <x:c r="G8" s="92" t="str">
        <x:v>Clics</x:v>
      </x:c>
      <x:c r="H8" s="92"/>
      <x:c r="I8" s="92"/>
      <x:c r="J8" s="92" t="str">
        <x:v>CTR</x:v>
      </x:c>
      <x:c r="K8" s="92"/>
      <x:c r="L8" s="92"/>
      <x:c r="P8" t="str">
        <x:f>Performance_Canal!A8</x:f>
        <x:v>TikTok Ads</x:v>
      </x:c>
      <x:c r="Q8" t="n">
        <x:f>Performance_Canal!B8</x:f>
        <x:v>0</x:v>
      </x:c>
      <x:c r="R8" t="n">
        <x:f>Performance_Canal!G8</x:f>
        <x:v>0</x:v>
      </x:c>
      <x:c r="T8" t="str">
        <x:f>Performance_Canal!A8</x:f>
        <x:v>TikTok Ads</x:v>
      </x:c>
      <x:c r="U8" t="n">
        <x:f>Performance_Canal!G8</x:f>
        <x:v>0</x:v>
      </x:c>
    </x:row>
    <x:row r="9">
      <x:c r="A9" s="92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P9" t="str">
        <x:f>Performance_Canal!A9</x:f>
        <x:v>LinkedIn Ads</x:v>
      </x:c>
      <x:c r="Q9" t="n">
        <x:f>Performance_Canal!B9</x:f>
        <x:v>0</x:v>
      </x:c>
      <x:c r="R9" t="n">
        <x:f>Performance_Canal!G9</x:f>
        <x:v>0</x:v>
      </x:c>
      <x:c r="T9" t="str">
        <x:f>Performance_Canal!A9</x:f>
        <x:v>LinkedIn Ads</x:v>
      </x:c>
      <x:c r="U9" t="n">
        <x:f>Performance_Canal!G9</x:f>
        <x:v>0</x:v>
      </x:c>
    </x:row>
    <x:row r="10">
      <x:c r="A10" s="134" t="n">
        <x:f>Performance_Canal!B16</x:f>
        <x:v>0</x:v>
      </x:c>
      <x:c r="B10" s="135"/>
      <x:c r="C10" s="136"/>
      <x:c r="D10" s="146" t="n">
        <x:f>Performance_Canal!C16</x:f>
        <x:v>0</x:v>
      </x:c>
      <x:c r="E10" s="147"/>
      <x:c r="F10" s="148"/>
      <x:c r="G10" s="146" t="n">
        <x:f>Performance_Canal!D16</x:f>
        <x:v>0</x:v>
      </x:c>
      <x:c r="H10" s="147"/>
      <x:c r="I10" s="148"/>
      <x:c r="J10" s="158" t="n">
        <x:f>Performance_Canal!E16</x:f>
        <x:v>0</x:v>
      </x:c>
      <x:c r="K10" s="159"/>
      <x:c r="L10" s="160"/>
      <x:c r="P10" t="str">
        <x:f>Performance_Canal!A10</x:f>
        <x:v>WhatsApp</x:v>
      </x:c>
      <x:c r="Q10" t="n">
        <x:f>Performance_Canal!B10</x:f>
        <x:v>0</x:v>
      </x:c>
      <x:c r="R10" t="n">
        <x:f>Performance_Canal!G10</x:f>
        <x:v>0</x:v>
      </x:c>
      <x:c r="T10" t="str">
        <x:f>Performance_Canal!A10</x:f>
        <x:v>WhatsApp</x:v>
      </x:c>
      <x:c r="U10" t="n">
        <x:f>Performance_Canal!G10</x:f>
        <x:v>0</x:v>
      </x:c>
    </x:row>
    <x:row r="11">
      <x:c r="A11" s="137"/>
      <x:c r="B11" s="138"/>
      <x:c r="C11" s="139"/>
      <x:c r="D11" s="149"/>
      <x:c r="E11" s="150"/>
      <x:c r="F11" s="151"/>
      <x:c r="G11" s="149"/>
      <x:c r="H11" s="150"/>
      <x:c r="I11" s="151"/>
      <x:c r="J11" s="161"/>
      <x:c r="K11" s="162"/>
      <x:c r="L11" s="163"/>
      <x:c r="P11" t="str">
        <x:f>Performance_Canal!A11</x:f>
        <x:v>Influence</x:v>
      </x:c>
      <x:c r="Q11" t="n">
        <x:f>Performance_Canal!B11</x:f>
        <x:v>0</x:v>
      </x:c>
      <x:c r="R11" t="n">
        <x:f>Performance_Canal!G11</x:f>
        <x:v>0</x:v>
      </x:c>
      <x:c r="T11" t="str">
        <x:f>Performance_Canal!A11</x:f>
        <x:v>Influence</x:v>
      </x:c>
      <x:c r="U11" t="n">
        <x:f>Performance_Canal!G11</x:f>
        <x:v>0</x:v>
      </x:c>
    </x:row>
    <x:row r="12">
      <x:c r="P12" t="str">
        <x:f>Performance_Canal!A12</x:f>
        <x:v>Programmatic</x:v>
      </x:c>
      <x:c r="Q12" t="n">
        <x:f>Performance_Canal!B12</x:f>
        <x:v>0</x:v>
      </x:c>
      <x:c r="R12" t="n">
        <x:f>Performance_Canal!G12</x:f>
        <x:v>0</x:v>
      </x:c>
      <x:c r="T12" t="str">
        <x:f>Performance_Canal!A12</x:f>
        <x:v>Programmatic</x:v>
      </x:c>
      <x:c r="U12" t="n">
        <x:f>Performance_Canal!G12</x:f>
        <x:v>0</x:v>
      </x:c>
    </x:row>
    <x:row r="13">
      <x:c r="A13" s="92" t="str">
        <x:v>Leads</x:v>
      </x:c>
      <x:c r="B13" s="92"/>
      <x:c r="C13" s="92"/>
      <x:c r="D13" s="92" t="str">
        <x:v>CPL</x:v>
      </x:c>
      <x:c r="E13" s="92"/>
      <x:c r="F13" s="92"/>
      <x:c r="G13" s="92" t="str">
        <x:v>Conversions</x:v>
      </x:c>
      <x:c r="H13" s="92"/>
      <x:c r="I13" s="92"/>
      <x:c r="J13" s="92" t="str">
        <x:v>CPA</x:v>
      </x:c>
      <x:c r="K13" s="92"/>
      <x:c r="L13" s="92"/>
      <x:c r="P13" t="str">
        <x:f>Performance_Canal!A13</x:f>
        <x:v>Emailing / CRM</x:v>
      </x:c>
      <x:c r="Q13" t="n">
        <x:f>Performance_Canal!B13</x:f>
        <x:v>0</x:v>
      </x:c>
      <x:c r="R13" t="n">
        <x:f>Performance_Canal!G13</x:f>
        <x:v>0</x:v>
      </x:c>
      <x:c r="T13" t="str">
        <x:f>Performance_Canal!A13</x:f>
        <x:v>Emailing / CRM</x:v>
      </x:c>
      <x:c r="U13" t="n">
        <x:f>Performance_Canal!G13</x:f>
        <x:v>0</x:v>
      </x:c>
    </x:row>
    <x:row r="14">
      <x:c r="A14" s="92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P14" t="str">
        <x:f>Performance_Canal!A14</x:f>
        <x:v>Autres</x:v>
      </x:c>
      <x:c r="Q14" t="n">
        <x:f>Performance_Canal!B14</x:f>
        <x:v>0</x:v>
      </x:c>
      <x:c r="R14" t="n">
        <x:f>Performance_Canal!G14</x:f>
        <x:v>0</x:v>
      </x:c>
      <x:c r="T14" t="str">
        <x:f>Performance_Canal!A14</x:f>
        <x:v>Autres</x:v>
      </x:c>
      <x:c r="U14" t="n">
        <x:f>Performance_Canal!G14</x:f>
        <x:v>0</x:v>
      </x:c>
    </x:row>
    <x:row r="15">
      <x:c r="A15" s="146" t="n">
        <x:f>Performance_Canal!G16</x:f>
        <x:v>0</x:v>
      </x:c>
      <x:c r="B15" s="147"/>
      <x:c r="C15" s="148"/>
      <x:c r="D15" s="170" t="n">
        <x:f>Performance_Canal!H16</x:f>
        <x:v>0</x:v>
      </x:c>
      <x:c r="E15" s="171"/>
      <x:c r="F15" s="172"/>
      <x:c r="G15" s="146" t="n">
        <x:f>Performance_Canal!I16</x:f>
        <x:v>0</x:v>
      </x:c>
      <x:c r="H15" s="147"/>
      <x:c r="I15" s="148"/>
      <x:c r="J15" s="170" t="n">
        <x:f>Performance_Canal!J16</x:f>
        <x:v>0</x:v>
      </x:c>
      <x:c r="K15" s="171"/>
      <x:c r="L15" s="172"/>
    </x:row>
    <x:row r="16">
      <x:c r="A16" s="149"/>
      <x:c r="B16" s="150"/>
      <x:c r="C16" s="151"/>
      <x:c r="D16" s="173"/>
      <x:c r="E16" s="174"/>
      <x:c r="F16" s="175"/>
      <x:c r="G16" s="149"/>
      <x:c r="H16" s="150"/>
      <x:c r="I16" s="151"/>
      <x:c r="J16" s="173"/>
      <x:c r="K16" s="174"/>
      <x:c r="L16" s="175"/>
    </x:row>
    <x:row r="18">
      <x:c r="A18" s="92" t="str">
        <x:v>Ventes</x:v>
      </x:c>
      <x:c r="B18" s="92"/>
      <x:c r="C18" s="92"/>
      <x:c r="D18" s="92" t="str">
        <x:v>CAC</x:v>
      </x:c>
      <x:c r="E18" s="92"/>
      <x:c r="F18" s="92"/>
      <x:c r="G18" s="92" t="str">
        <x:v>CA attribué</x:v>
      </x:c>
      <x:c r="H18" s="92"/>
      <x:c r="I18" s="92"/>
      <x:c r="J18" s="92" t="str">
        <x:v>ROAS</x:v>
      </x:c>
      <x:c r="K18" s="92"/>
      <x:c r="L18" s="92"/>
    </x:row>
    <x:row r="19">
      <x:c r="A19" s="92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</x:row>
    <x:row r="20">
      <x:c r="A20" s="146" t="n">
        <x:f>Qualite_Leads!K16</x:f>
        <x:v>0</x:v>
      </x:c>
      <x:c r="B20" s="147"/>
      <x:c r="C20" s="148"/>
      <x:c r="D20" s="170" t="n">
        <x:f>IFERROR(Performance_Canal!B16/Qualite_Leads!K16,0)</x:f>
        <x:v>0</x:v>
      </x:c>
      <x:c r="E20" s="171"/>
      <x:c r="F20" s="172"/>
      <x:c r="G20" s="134" t="n">
        <x:f>Performance_Canal!K16</x:f>
        <x:v>0</x:v>
      </x:c>
      <x:c r="H20" s="135"/>
      <x:c r="I20" s="136"/>
      <x:c r="J20" s="182" t="n">
        <x:f>Performance_Canal!L16</x:f>
        <x:v>0</x:v>
      </x:c>
      <x:c r="K20" s="183"/>
      <x:c r="L20" s="184"/>
    </x:row>
    <x:row r="21">
      <x:c r="A21" s="149"/>
      <x:c r="B21" s="150"/>
      <x:c r="C21" s="151"/>
      <x:c r="D21" s="173"/>
      <x:c r="E21" s="174"/>
      <x:c r="F21" s="175"/>
      <x:c r="G21" s="137"/>
      <x:c r="H21" s="138"/>
      <x:c r="I21" s="139"/>
      <x:c r="J21" s="185"/>
      <x:c r="K21" s="186"/>
      <x:c r="L21" s="187"/>
    </x:row>
    <x:row r="24">
      <x:c r="A24" s="30" t="str">
        <x:v>Benchmark CPL — secteur sélectionné</x:v>
      </x:c>
      <x:c r="B24" s="30"/>
      <x:c r="C24" s="30"/>
      <x:c r="D24" s="30"/>
      <x:c r="E24" s="30"/>
      <x:c r="F24" s="30"/>
      <x:c r="H24" s="30" t="str">
        <x:v>Qualité des leads — vue funnel</x:v>
      </x:c>
      <x:c r="I24" s="30"/>
      <x:c r="J24" s="30"/>
      <x:c r="K24" s="30"/>
      <x:c r="L24" s="30"/>
      <x:c r="M24" s="30"/>
      <x:c r="N24" s="30"/>
    </x:row>
    <x:row r="25">
      <x:c r="A25" s="17" t="str">
        <x:v>CPL min</x:v>
      </x:c>
      <x:c r="B25" s="17" t="str">
        <x:v>CPL max</x:v>
      </x:c>
      <x:c r="C25" s="205" t="str">
        <x:v>Fourchette observée Richmedia 2022–2026. À utiliser comme repère, jamais comme garantie de performance.</x:v>
      </x:c>
      <x:c r="D25" s="205"/>
      <x:c r="E25" s="205"/>
      <x:c r="F25" s="205"/>
      <x:c r="H25" s="17" t="str">
        <x:v>Leads</x:v>
      </x:c>
      <x:c r="I25" s="17" t="str">
        <x:v>Contactés</x:v>
      </x:c>
      <x:c r="J25" s="17" t="str">
        <x:v>Qualifiés</x:v>
      </x:c>
      <x:c r="K25" s="17" t="str">
        <x:v>MQL</x:v>
      </x:c>
      <x:c r="L25" s="17" t="str">
        <x:v>SQL</x:v>
      </x:c>
      <x:c r="M25" s="17" t="str">
        <x:v>Ventes</x:v>
      </x:c>
      <x:c r="N25" s="17" t="str">
        <x:v>Lead→Vente</x:v>
      </x:c>
    </x:row>
    <x:row r="26">
      <x:c r="A26" s="198" t="n">
        <x:f>IFERROR(VLOOKUP(Parametres!B8,Benchmarks_2026!A19:C26,2,FALSE),0)</x:f>
        <x:v>20</x:v>
      </x:c>
      <x:c r="B26" s="198" t="n">
        <x:f>IFERROR(VLOOKUP(Parametres!B8,Benchmarks_2026!A19:C26,3,FALSE),0)</x:f>
        <x:v>40</x:v>
      </x:c>
      <x:c r="C26" s="205"/>
      <x:c r="D26" s="205"/>
      <x:c r="E26" s="205"/>
      <x:c r="F26" s="205"/>
      <x:c r="H26" s="214" t="n">
        <x:f>Qualite_Leads!B16</x:f>
        <x:v>0</x:v>
      </x:c>
      <x:c r="I26" s="214" t="n">
        <x:f>Qualite_Leads!C16</x:f>
        <x:v>0</x:v>
      </x:c>
      <x:c r="J26" s="214" t="n">
        <x:f>Qualite_Leads!E16</x:f>
        <x:v>0</x:v>
      </x:c>
      <x:c r="K26" s="214" t="n">
        <x:f>Qualite_Leads!G16</x:f>
        <x:v>0</x:v>
      </x:c>
      <x:c r="L26" s="214" t="n">
        <x:f>Qualite_Leads!I16</x:f>
        <x:v>0</x:v>
      </x:c>
      <x:c r="M26" s="214" t="n">
        <x:f>Qualite_Leads!K16</x:f>
        <x:v>0</x:v>
      </x:c>
      <x:c r="N26" s="215" t="n">
        <x:f>Qualite_Leads!M16</x:f>
        <x:v>0</x:v>
      </x:c>
    </x:row>
  </x:sheetData>
  <x:mergeCells>
    <x:mergeCell ref="A1:N2"/>
    <x:mergeCell ref="A3:N3"/>
    <x:mergeCell ref="A8:C9"/>
    <x:mergeCell ref="A10:C11"/>
    <x:mergeCell ref="D8:F9"/>
    <x:mergeCell ref="D10:F11"/>
    <x:mergeCell ref="G8:I9"/>
    <x:mergeCell ref="G10:I11"/>
    <x:mergeCell ref="J8:L9"/>
    <x:mergeCell ref="J10:L11"/>
    <x:mergeCell ref="A13:C14"/>
    <x:mergeCell ref="A15:C16"/>
    <x:mergeCell ref="D13:F14"/>
    <x:mergeCell ref="D15:F16"/>
    <x:mergeCell ref="G13:I14"/>
    <x:mergeCell ref="G15:I16"/>
    <x:mergeCell ref="J13:L14"/>
    <x:mergeCell ref="J15:L16"/>
    <x:mergeCell ref="A18:C19"/>
    <x:mergeCell ref="A20:C21"/>
    <x:mergeCell ref="D18:F19"/>
    <x:mergeCell ref="D20:F21"/>
    <x:mergeCell ref="G18:I19"/>
    <x:mergeCell ref="G20:I21"/>
    <x:mergeCell ref="J18:L19"/>
    <x:mergeCell ref="J20:L21"/>
    <x:mergeCell ref="A24:F24"/>
    <x:mergeCell ref="C25:F26"/>
    <x:mergeCell ref="H24:N24"/>
  </x:mergeCells>
  <x:pageMargins left="0.7" right="0.7" top="0.75" bottom="0.75" header="0.3" footer="0.3"/>
  <x:drawing xmlns:r="http://schemas.openxmlformats.org/officeDocument/2006/relationships" r:id="Red230d2c08aa4026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4" hidden="0" customWidth="1"/>
    <x:col min="5" max="5" width="11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1" hidden="0" customWidth="1"/>
    <x:col min="13" max="13" width="14" hidden="0" customWidth="1"/>
    <x:col min="14" max="14" width="12" hidden="0" customWidth="1"/>
    <x:col min="15" max="15" width="18" hidden="0" customWidth="1"/>
  </x:cols>
  <x:sheetData>
    <x:row r="1">
      <x:c r="A1" s="4" t="str">
        <x:v>RICHMEDIA | Performance par canal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9" t="str">
        <x:v>Saisissez les données plateforme dans les cellules jaunes. Les KPI calculés sont automatisés.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>
      <x:c r="A5" s="17" t="str">
        <x:v>Canal</x:v>
      </x:c>
      <x:c r="B5" s="17" t="str">
        <x:v>Budget réel</x:v>
      </x:c>
      <x:c r="C5" s="17" t="str">
        <x:v>Impressions</x:v>
      </x:c>
      <x:c r="D5" s="17" t="str">
        <x:v>Clics</x:v>
      </x:c>
      <x:c r="E5" s="17" t="str">
        <x:v>CTR</x:v>
      </x:c>
      <x:c r="F5" s="17" t="str">
        <x:v>CPC</x:v>
      </x:c>
      <x:c r="G5" s="17" t="str">
        <x:v>Leads</x:v>
      </x:c>
      <x:c r="H5" s="17" t="str">
        <x:v>CPL</x:v>
      </x:c>
      <x:c r="I5" s="17" t="str">
        <x:v>Conversions</x:v>
      </x:c>
      <x:c r="J5" s="17" t="str">
        <x:v>CPA</x:v>
      </x:c>
      <x:c r="K5" s="17" t="str">
        <x:v>CA attribué</x:v>
      </x:c>
      <x:c r="L5" s="17" t="str">
        <x:v>ROAS</x:v>
      </x:c>
      <x:c r="M5" s="17" t="str">
        <x:v>Objectif CPL</x:v>
      </x:c>
      <x:c r="N5" s="17" t="str">
        <x:v>Écart CPL</x:v>
      </x:c>
      <x:c r="O5" s="17" t="str">
        <x:v>Statut CPL</x:v>
      </x:c>
    </x:row>
    <x:row r="6">
      <x:c r="A6" t="str">
        <x:v>Meta Ads</x:v>
      </x:c>
      <x:c r="B6" s="62"/>
      <x:c r="C6" s="66"/>
      <x:c r="D6" s="66"/>
      <x:c r="E6" s="48" t="n">
        <x:f>IFERROR(D6/C6,0)</x:f>
        <x:v>0</x:v>
      </x:c>
      <x:c r="F6" s="64" t="n">
        <x:f>IFERROR(B6/D6,0)</x:f>
        <x:v>0</x:v>
      </x:c>
      <x:c r="G6" s="66"/>
      <x:c r="H6" s="64" t="n">
        <x:f>IFERROR(B6/G6,0)</x:f>
        <x:v>0</x:v>
      </x:c>
      <x:c r="I6" s="66"/>
      <x:c r="J6" s="64" t="n">
        <x:f>IFERROR(B6/I6,0)</x:f>
        <x:v>0</x:v>
      </x:c>
      <x:c r="K6" s="62"/>
      <x:c r="L6" s="60" t="n">
        <x:f>IFERROR(K6/B6,0)</x:f>
        <x:v>0</x:v>
      </x:c>
      <x:c r="M6" s="62"/>
      <x:c r="N6" s="48" t="n">
        <x:f>IFERROR((H6-M6)/M6,0)</x:f>
        <x:v>0</x:v>
      </x:c>
      <x:c r="O6" t="str">
        <x:f>IF(M6="","",IF(H6&lt;=M6,"🟢 Sous objectif",IF(H6&lt;=M6*(1+Parametres!$B$10),"🟠 À surveiller","🔴 Au-dessus")))</x:f>
      </x:c>
    </x:row>
    <x:row r="7">
      <x:c r="A7" t="str">
        <x:v>Google Ads</x:v>
      </x:c>
      <x:c r="B7" s="62"/>
      <x:c r="C7" s="66"/>
      <x:c r="D7" s="66"/>
      <x:c r="E7" s="48" t="n">
        <x:f>IFERROR(D7/C7,0)</x:f>
        <x:v>0</x:v>
      </x:c>
      <x:c r="F7" s="64" t="n">
        <x:f>IFERROR(B7/D7,0)</x:f>
        <x:v>0</x:v>
      </x:c>
      <x:c r="G7" s="66"/>
      <x:c r="H7" s="64" t="n">
        <x:f>IFERROR(B7/G7,0)</x:f>
        <x:v>0</x:v>
      </x:c>
      <x:c r="I7" s="66"/>
      <x:c r="J7" s="64" t="n">
        <x:f>IFERROR(B7/I7,0)</x:f>
        <x:v>0</x:v>
      </x:c>
      <x:c r="K7" s="62"/>
      <x:c r="L7" s="60" t="n">
        <x:f>IFERROR(K7/B7,0)</x:f>
        <x:v>0</x:v>
      </x:c>
      <x:c r="M7" s="62"/>
      <x:c r="N7" s="48" t="n">
        <x:f>IFERROR((H7-M7)/M7,0)</x:f>
        <x:v>0</x:v>
      </x:c>
      <x:c r="O7" t="str">
        <x:f>IF(M7="","",IF(H7&lt;=M7,"🟢 Sous objectif",IF(H7&lt;=M7*(1+Parametres!$B$10),"🟠 À surveiller","🔴 Au-dessus")))</x:f>
      </x:c>
    </x:row>
    <x:row r="8">
      <x:c r="A8" t="str">
        <x:v>TikTok Ads</x:v>
      </x:c>
      <x:c r="B8" s="62"/>
      <x:c r="C8" s="66"/>
      <x:c r="D8" s="66"/>
      <x:c r="E8" s="48" t="n">
        <x:f>IFERROR(D8/C8,0)</x:f>
        <x:v>0</x:v>
      </x:c>
      <x:c r="F8" s="64" t="n">
        <x:f>IFERROR(B8/D8,0)</x:f>
        <x:v>0</x:v>
      </x:c>
      <x:c r="G8" s="66"/>
      <x:c r="H8" s="64" t="n">
        <x:f>IFERROR(B8/G8,0)</x:f>
        <x:v>0</x:v>
      </x:c>
      <x:c r="I8" s="66"/>
      <x:c r="J8" s="64" t="n">
        <x:f>IFERROR(B8/I8,0)</x:f>
        <x:v>0</x:v>
      </x:c>
      <x:c r="K8" s="62"/>
      <x:c r="L8" s="60" t="n">
        <x:f>IFERROR(K8/B8,0)</x:f>
        <x:v>0</x:v>
      </x:c>
      <x:c r="M8" s="62"/>
      <x:c r="N8" s="48" t="n">
        <x:f>IFERROR((H8-M8)/M8,0)</x:f>
        <x:v>0</x:v>
      </x:c>
      <x:c r="O8" t="str">
        <x:f>IF(M8="","",IF(H8&lt;=M8,"🟢 Sous objectif",IF(H8&lt;=M8*(1+Parametres!$B$10),"🟠 À surveiller","🔴 Au-dessus")))</x:f>
      </x:c>
    </x:row>
    <x:row r="9">
      <x:c r="A9" t="str">
        <x:v>LinkedIn Ads</x:v>
      </x:c>
      <x:c r="B9" s="62"/>
      <x:c r="C9" s="66"/>
      <x:c r="D9" s="66"/>
      <x:c r="E9" s="48" t="n">
        <x:f>IFERROR(D9/C9,0)</x:f>
        <x:v>0</x:v>
      </x:c>
      <x:c r="F9" s="64" t="n">
        <x:f>IFERROR(B9/D9,0)</x:f>
        <x:v>0</x:v>
      </x:c>
      <x:c r="G9" s="66"/>
      <x:c r="H9" s="64" t="n">
        <x:f>IFERROR(B9/G9,0)</x:f>
        <x:v>0</x:v>
      </x:c>
      <x:c r="I9" s="66"/>
      <x:c r="J9" s="64" t="n">
        <x:f>IFERROR(B9/I9,0)</x:f>
        <x:v>0</x:v>
      </x:c>
      <x:c r="K9" s="62"/>
      <x:c r="L9" s="60" t="n">
        <x:f>IFERROR(K9/B9,0)</x:f>
        <x:v>0</x:v>
      </x:c>
      <x:c r="M9" s="62"/>
      <x:c r="N9" s="48" t="n">
        <x:f>IFERROR((H9-M9)/M9,0)</x:f>
        <x:v>0</x:v>
      </x:c>
      <x:c r="O9" t="str">
        <x:f>IF(M9="","",IF(H9&lt;=M9,"🟢 Sous objectif",IF(H9&lt;=M9*(1+Parametres!$B$10),"🟠 À surveiller","🔴 Au-dessus")))</x:f>
      </x:c>
    </x:row>
    <x:row r="10">
      <x:c r="A10" t="str">
        <x:v>WhatsApp</x:v>
      </x:c>
      <x:c r="B10" s="62"/>
      <x:c r="C10" s="66"/>
      <x:c r="D10" s="66"/>
      <x:c r="E10" s="48" t="n">
        <x:f>IFERROR(D10/C10,0)</x:f>
        <x:v>0</x:v>
      </x:c>
      <x:c r="F10" s="64" t="n">
        <x:f>IFERROR(B10/D10,0)</x:f>
        <x:v>0</x:v>
      </x:c>
      <x:c r="G10" s="66"/>
      <x:c r="H10" s="64" t="n">
        <x:f>IFERROR(B10/G10,0)</x:f>
        <x:v>0</x:v>
      </x:c>
      <x:c r="I10" s="66"/>
      <x:c r="J10" s="64" t="n">
        <x:f>IFERROR(B10/I10,0)</x:f>
        <x:v>0</x:v>
      </x:c>
      <x:c r="K10" s="62"/>
      <x:c r="L10" s="60" t="n">
        <x:f>IFERROR(K10/B10,0)</x:f>
        <x:v>0</x:v>
      </x:c>
      <x:c r="M10" s="62"/>
      <x:c r="N10" s="48" t="n">
        <x:f>IFERROR((H10-M10)/M10,0)</x:f>
        <x:v>0</x:v>
      </x:c>
      <x:c r="O10" t="str">
        <x:f>IF(M10="","",IF(H10&lt;=M10,"🟢 Sous objectif",IF(H10&lt;=M10*(1+Parametres!$B$10),"🟠 À surveiller","🔴 Au-dessus")))</x:f>
      </x:c>
    </x:row>
    <x:row r="11">
      <x:c r="A11" t="str">
        <x:v>Influence</x:v>
      </x:c>
      <x:c r="B11" s="62"/>
      <x:c r="C11" s="66"/>
      <x:c r="D11" s="66"/>
      <x:c r="E11" s="48" t="n">
        <x:f>IFERROR(D11/C11,0)</x:f>
        <x:v>0</x:v>
      </x:c>
      <x:c r="F11" s="64" t="n">
        <x:f>IFERROR(B11/D11,0)</x:f>
        <x:v>0</x:v>
      </x:c>
      <x:c r="G11" s="66"/>
      <x:c r="H11" s="64" t="n">
        <x:f>IFERROR(B11/G11,0)</x:f>
        <x:v>0</x:v>
      </x:c>
      <x:c r="I11" s="66"/>
      <x:c r="J11" s="64" t="n">
        <x:f>IFERROR(B11/I11,0)</x:f>
        <x:v>0</x:v>
      </x:c>
      <x:c r="K11" s="62"/>
      <x:c r="L11" s="60" t="n">
        <x:f>IFERROR(K11/B11,0)</x:f>
        <x:v>0</x:v>
      </x:c>
      <x:c r="M11" s="62"/>
      <x:c r="N11" s="48" t="n">
        <x:f>IFERROR((H11-M11)/M11,0)</x:f>
        <x:v>0</x:v>
      </x:c>
      <x:c r="O11" t="str">
        <x:f>IF(M11="","",IF(H11&lt;=M11,"🟢 Sous objectif",IF(H11&lt;=M11*(1+Parametres!$B$10),"🟠 À surveiller","🔴 Au-dessus")))</x:f>
      </x:c>
    </x:row>
    <x:row r="12">
      <x:c r="A12" t="str">
        <x:v>Programmatic</x:v>
      </x:c>
      <x:c r="B12" s="62"/>
      <x:c r="C12" s="66"/>
      <x:c r="D12" s="66"/>
      <x:c r="E12" s="48" t="n">
        <x:f>IFERROR(D12/C12,0)</x:f>
        <x:v>0</x:v>
      </x:c>
      <x:c r="F12" s="64" t="n">
        <x:f>IFERROR(B12/D12,0)</x:f>
        <x:v>0</x:v>
      </x:c>
      <x:c r="G12" s="66"/>
      <x:c r="H12" s="64" t="n">
        <x:f>IFERROR(B12/G12,0)</x:f>
        <x:v>0</x:v>
      </x:c>
      <x:c r="I12" s="66"/>
      <x:c r="J12" s="64" t="n">
        <x:f>IFERROR(B12/I12,0)</x:f>
        <x:v>0</x:v>
      </x:c>
      <x:c r="K12" s="62"/>
      <x:c r="L12" s="60" t="n">
        <x:f>IFERROR(K12/B12,0)</x:f>
        <x:v>0</x:v>
      </x:c>
      <x:c r="M12" s="62"/>
      <x:c r="N12" s="48" t="n">
        <x:f>IFERROR((H12-M12)/M12,0)</x:f>
        <x:v>0</x:v>
      </x:c>
      <x:c r="O12" t="str">
        <x:f>IF(M12="","",IF(H12&lt;=M12,"🟢 Sous objectif",IF(H12&lt;=M12*(1+Parametres!$B$10),"🟠 À surveiller","🔴 Au-dessus")))</x:f>
      </x:c>
    </x:row>
    <x:row r="13">
      <x:c r="A13" t="str">
        <x:v>Emailing / CRM</x:v>
      </x:c>
      <x:c r="B13" s="62"/>
      <x:c r="C13" s="66"/>
      <x:c r="D13" s="66"/>
      <x:c r="E13" s="48" t="n">
        <x:f>IFERROR(D13/C13,0)</x:f>
        <x:v>0</x:v>
      </x:c>
      <x:c r="F13" s="64" t="n">
        <x:f>IFERROR(B13/D13,0)</x:f>
        <x:v>0</x:v>
      </x:c>
      <x:c r="G13" s="66"/>
      <x:c r="H13" s="64" t="n">
        <x:f>IFERROR(B13/G13,0)</x:f>
        <x:v>0</x:v>
      </x:c>
      <x:c r="I13" s="66"/>
      <x:c r="J13" s="64" t="n">
        <x:f>IFERROR(B13/I13,0)</x:f>
        <x:v>0</x:v>
      </x:c>
      <x:c r="K13" s="62"/>
      <x:c r="L13" s="60" t="n">
        <x:f>IFERROR(K13/B13,0)</x:f>
        <x:v>0</x:v>
      </x:c>
      <x:c r="M13" s="62"/>
      <x:c r="N13" s="48" t="n">
        <x:f>IFERROR((H13-M13)/M13,0)</x:f>
        <x:v>0</x:v>
      </x:c>
      <x:c r="O13" t="str">
        <x:f>IF(M13="","",IF(H13&lt;=M13,"🟢 Sous objectif",IF(H13&lt;=M13*(1+Parametres!$B$10),"🟠 À surveiller","🔴 Au-dessus")))</x:f>
      </x:c>
    </x:row>
    <x:row r="14">
      <x:c r="A14" t="str">
        <x:v>Autres</x:v>
      </x:c>
      <x:c r="B14" s="62"/>
      <x:c r="C14" s="66"/>
      <x:c r="D14" s="66"/>
      <x:c r="E14" s="48" t="n">
        <x:f>IFERROR(D14/C14,0)</x:f>
        <x:v>0</x:v>
      </x:c>
      <x:c r="F14" s="64" t="n">
        <x:f>IFERROR(B14/D14,0)</x:f>
        <x:v>0</x:v>
      </x:c>
      <x:c r="G14" s="66"/>
      <x:c r="H14" s="64" t="n">
        <x:f>IFERROR(B14/G14,0)</x:f>
        <x:v>0</x:v>
      </x:c>
      <x:c r="I14" s="66"/>
      <x:c r="J14" s="64" t="n">
        <x:f>IFERROR(B14/I14,0)</x:f>
        <x:v>0</x:v>
      </x:c>
      <x:c r="K14" s="62"/>
      <x:c r="L14" s="60" t="n">
        <x:f>IFERROR(K14/B14,0)</x:f>
        <x:v>0</x:v>
      </x:c>
      <x:c r="M14" s="62"/>
      <x:c r="N14" s="48" t="n">
        <x:f>IFERROR((H14-M14)/M14,0)</x:f>
        <x:v>0</x:v>
      </x:c>
      <x:c r="O14" t="str">
        <x:f>IF(M14="","",IF(H14&lt;=M14,"🟢 Sous objectif",IF(H14&lt;=M14*(1+Parametres!$B$10),"🟠 À surveiller","🔴 Au-dessus")))</x:f>
      </x:c>
    </x:row>
    <x:row r="16">
      <x:c r="A16" s="68" t="str">
        <x:v>TOTAL</x:v>
      </x:c>
      <x:c r="B16" s="74" t="n">
        <x:f>SUM(B6:B14)</x:f>
        <x:v>0</x:v>
      </x:c>
      <x:c r="C16" s="76" t="n">
        <x:f>SUM(C6:C14)</x:f>
        <x:v>0</x:v>
      </x:c>
      <x:c r="D16" s="76" t="n">
        <x:f>SUM(D6:D14)</x:f>
        <x:v>0</x:v>
      </x:c>
      <x:c r="E16" s="70" t="n">
        <x:f>IFERROR(D16/C16,0)</x:f>
        <x:v>0</x:v>
      </x:c>
      <x:c r="F16" s="74" t="n">
        <x:f>IFERROR(B16/D16,0)</x:f>
        <x:v>0</x:v>
      </x:c>
      <x:c r="G16" s="76" t="n">
        <x:f>SUM(G6:G14)</x:f>
        <x:v>0</x:v>
      </x:c>
      <x:c r="H16" s="74" t="n">
        <x:f>IFERROR(B16/G16,0)</x:f>
        <x:v>0</x:v>
      </x:c>
      <x:c r="I16" s="76" t="n">
        <x:f>SUM(I6:I14)</x:f>
        <x:v>0</x:v>
      </x:c>
      <x:c r="J16" s="74" t="n">
        <x:f>IFERROR(B16/I16,0)</x:f>
        <x:v>0</x:v>
      </x:c>
      <x:c r="K16" s="74" t="n">
        <x:f>SUM(K6:K14)</x:f>
        <x:v>0</x:v>
      </x:c>
      <x:c r="L16" s="72" t="n">
        <x:f>IFERROR(K16/B16,0)</x:f>
        <x:v>0</x:v>
      </x:c>
      <x:c r="M16" s="68" t="str"/>
      <x:c r="N16" s="68" t="str"/>
      <x:c r="O16" s="68" t="str"/>
    </x:row>
    <x:row r="19">
      <x:c r="A19" s="237" t="str">
        <x:v>Cellules jaunes = saisie manuelle. Les KPI calculés automatiquement ne doivent pas être écrasés. Le statut CPL compare le CPL réel à l'objectif CPL saisi pour chaque canal.</x:v>
      </x:c>
      <x:c r="B19" s="237"/>
      <x:c r="C19" s="237"/>
      <x:c r="D19" s="237"/>
      <x:c r="E19" s="237"/>
      <x:c r="F19" s="237"/>
      <x:c r="G19" s="237"/>
      <x:c r="H19" s="237"/>
      <x:c r="I19" s="237"/>
      <x:c r="J19" s="237"/>
      <x:c r="K19" s="237"/>
      <x:c r="L19" s="237"/>
      <x:c r="M19" s="237"/>
      <x:c r="N19" s="237"/>
      <x:c r="O19" s="237"/>
    </x:row>
    <x:row r="20">
      <x:c r="A20" s="237"/>
      <x:c r="B20" s="237"/>
      <x:c r="C20" s="237"/>
      <x:c r="D20" s="237"/>
      <x:c r="E20" s="237"/>
      <x:c r="F20" s="237"/>
      <x:c r="G20" s="237"/>
      <x:c r="H20" s="237"/>
      <x:c r="I20" s="237"/>
      <x:c r="J20" s="237"/>
      <x:c r="K20" s="237"/>
      <x:c r="L20" s="237"/>
      <x:c r="M20" s="237"/>
      <x:c r="N20" s="237"/>
      <x:c r="O20" s="237"/>
    </x:row>
  </x:sheetData>
  <x:mergeCells>
    <x:mergeCell ref="A1:O2"/>
    <x:mergeCell ref="A3:O3"/>
    <x:mergeCell ref="A19:O20"/>
  </x:mergeCells>
  <x:conditionalFormatting sqref="O6:O14">
    <x:cfRule type="expression" dxfId="0" priority="1">
      <x:formula>LEFT(O6,1)="🟢"</x:formula>
    </x:cfRule>
    <x:cfRule type="expression" dxfId="1" priority="2">
      <x:formula>LEFT(O6,1)="🟠"</x:formula>
    </x:cfRule>
    <x:cfRule type="expression" dxfId="2" priority="3">
      <x:formula>LEFT(O6,1)="🔴"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3" hidden="0" customWidth="1"/>
    <x:col min="5" max="5" width="16" hidden="0" customWidth="1"/>
    <x:col min="6" max="6" width="16" hidden="0" customWidth="1"/>
    <x:col min="7" max="7" width="10" hidden="0" customWidth="1"/>
    <x:col min="8" max="8" width="13" hidden="0" customWidth="1"/>
    <x:col min="9" max="9" width="10" hidden="0" customWidth="1"/>
    <x:col min="10" max="10" width="13" hidden="0" customWidth="1"/>
    <x:col min="11" max="11" width="10" hidden="0" customWidth="1"/>
    <x:col min="12" max="12" width="13" hidden="0" customWidth="1"/>
    <x:col min="13" max="13" width="13" hidden="0" customWidth="1"/>
  </x:cols>
  <x:sheetData>
    <x:row r="1">
      <x:c r="A1" s="4" t="str">
        <x:v>RICHMEDIA | Qualité des leads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9" t="str">
        <x:v>Reliez la performance média aux données CRM et commerciales.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>
      <x:c r="A5" s="17" t="str">
        <x:v>Canal</x:v>
      </x:c>
      <x:c r="B5" s="17" t="str">
        <x:v>Leads</x:v>
      </x:c>
      <x:c r="C5" s="17" t="str">
        <x:v>Leads contactés</x:v>
      </x:c>
      <x:c r="D5" s="17" t="str">
        <x:v>Taux contact</x:v>
      </x:c>
      <x:c r="E5" s="17" t="str">
        <x:v>Leads qualifiés</x:v>
      </x:c>
      <x:c r="F5" s="17" t="str">
        <x:v>Taux qualification</x:v>
      </x:c>
      <x:c r="G5" s="17" t="str">
        <x:v>MQL</x:v>
      </x:c>
      <x:c r="H5" s="17" t="str">
        <x:v>Lead → MQL</x:v>
      </x:c>
      <x:c r="I5" s="17" t="str">
        <x:v>SQL</x:v>
      </x:c>
      <x:c r="J5" s="17" t="str">
        <x:v>MQL → SQL</x:v>
      </x:c>
      <x:c r="K5" s="17" t="str">
        <x:v>Ventes</x:v>
      </x:c>
      <x:c r="L5" s="17" t="str">
        <x:v>SQL → Vente</x:v>
      </x:c>
      <x:c r="M5" s="17" t="str">
        <x:v>Lead → Vente</x:v>
      </x:c>
    </x:row>
    <x:row r="6">
      <x:c r="A6" t="str">
        <x:v>Meta Ads</x:v>
      </x:c>
      <x:c r="B6" s="80" t="n">
        <x:f>Performance_Canal!G6</x:f>
        <x:v>0</x:v>
      </x:c>
      <x:c r="C6" s="66"/>
      <x:c r="D6" s="48" t="n">
        <x:f>IFERROR(C6/B6,0)</x:f>
        <x:v>0</x:v>
      </x:c>
      <x:c r="E6" s="66"/>
      <x:c r="F6" s="48" t="n">
        <x:f>IFERROR(E6/C6,0)</x:f>
        <x:v>0</x:v>
      </x:c>
      <x:c r="G6" s="66"/>
      <x:c r="H6" s="48" t="n">
        <x:f>IFERROR(G6/B6,0)</x:f>
        <x:v>0</x:v>
      </x:c>
      <x:c r="I6" s="66"/>
      <x:c r="J6" s="48" t="n">
        <x:f>IFERROR(I6/G6,0)</x:f>
        <x:v>0</x:v>
      </x:c>
      <x:c r="K6" s="66"/>
      <x:c r="L6" s="48" t="n">
        <x:f>IFERROR(K6/I6,0)</x:f>
        <x:v>0</x:v>
      </x:c>
      <x:c r="M6" s="48" t="n">
        <x:f>IFERROR(K6/B6,0)</x:f>
        <x:v>0</x:v>
      </x:c>
    </x:row>
    <x:row r="7">
      <x:c r="A7" t="str">
        <x:v>Google Ads</x:v>
      </x:c>
      <x:c r="B7" s="80" t="n">
        <x:f>Performance_Canal!G7</x:f>
        <x:v>0</x:v>
      </x:c>
      <x:c r="C7" s="66"/>
      <x:c r="D7" s="48" t="n">
        <x:f>IFERROR(C7/B7,0)</x:f>
        <x:v>0</x:v>
      </x:c>
      <x:c r="E7" s="66"/>
      <x:c r="F7" s="48" t="n">
        <x:f>IFERROR(E7/C7,0)</x:f>
        <x:v>0</x:v>
      </x:c>
      <x:c r="G7" s="66"/>
      <x:c r="H7" s="48" t="n">
        <x:f>IFERROR(G7/B7,0)</x:f>
        <x:v>0</x:v>
      </x:c>
      <x:c r="I7" s="66"/>
      <x:c r="J7" s="48" t="n">
        <x:f>IFERROR(I7/G7,0)</x:f>
        <x:v>0</x:v>
      </x:c>
      <x:c r="K7" s="66"/>
      <x:c r="L7" s="48" t="n">
        <x:f>IFERROR(K7/I7,0)</x:f>
        <x:v>0</x:v>
      </x:c>
      <x:c r="M7" s="48" t="n">
        <x:f>IFERROR(K7/B7,0)</x:f>
        <x:v>0</x:v>
      </x:c>
    </x:row>
    <x:row r="8">
      <x:c r="A8" t="str">
        <x:v>TikTok Ads</x:v>
      </x:c>
      <x:c r="B8" s="80" t="n">
        <x:f>Performance_Canal!G8</x:f>
        <x:v>0</x:v>
      </x:c>
      <x:c r="C8" s="66"/>
      <x:c r="D8" s="48" t="n">
        <x:f>IFERROR(C8/B8,0)</x:f>
        <x:v>0</x:v>
      </x:c>
      <x:c r="E8" s="66"/>
      <x:c r="F8" s="48" t="n">
        <x:f>IFERROR(E8/C8,0)</x:f>
        <x:v>0</x:v>
      </x:c>
      <x:c r="G8" s="66"/>
      <x:c r="H8" s="48" t="n">
        <x:f>IFERROR(G8/B8,0)</x:f>
        <x:v>0</x:v>
      </x:c>
      <x:c r="I8" s="66"/>
      <x:c r="J8" s="48" t="n">
        <x:f>IFERROR(I8/G8,0)</x:f>
        <x:v>0</x:v>
      </x:c>
      <x:c r="K8" s="66"/>
      <x:c r="L8" s="48" t="n">
        <x:f>IFERROR(K8/I8,0)</x:f>
        <x:v>0</x:v>
      </x:c>
      <x:c r="M8" s="48" t="n">
        <x:f>IFERROR(K8/B8,0)</x:f>
        <x:v>0</x:v>
      </x:c>
    </x:row>
    <x:row r="9">
      <x:c r="A9" t="str">
        <x:v>LinkedIn Ads</x:v>
      </x:c>
      <x:c r="B9" s="80" t="n">
        <x:f>Performance_Canal!G9</x:f>
        <x:v>0</x:v>
      </x:c>
      <x:c r="C9" s="66"/>
      <x:c r="D9" s="48" t="n">
        <x:f>IFERROR(C9/B9,0)</x:f>
        <x:v>0</x:v>
      </x:c>
      <x:c r="E9" s="66"/>
      <x:c r="F9" s="48" t="n">
        <x:f>IFERROR(E9/C9,0)</x:f>
        <x:v>0</x:v>
      </x:c>
      <x:c r="G9" s="66"/>
      <x:c r="H9" s="48" t="n">
        <x:f>IFERROR(G9/B9,0)</x:f>
        <x:v>0</x:v>
      </x:c>
      <x:c r="I9" s="66"/>
      <x:c r="J9" s="48" t="n">
        <x:f>IFERROR(I9/G9,0)</x:f>
        <x:v>0</x:v>
      </x:c>
      <x:c r="K9" s="66"/>
      <x:c r="L9" s="48" t="n">
        <x:f>IFERROR(K9/I9,0)</x:f>
        <x:v>0</x:v>
      </x:c>
      <x:c r="M9" s="48" t="n">
        <x:f>IFERROR(K9/B9,0)</x:f>
        <x:v>0</x:v>
      </x:c>
    </x:row>
    <x:row r="10">
      <x:c r="A10" t="str">
        <x:v>WhatsApp</x:v>
      </x:c>
      <x:c r="B10" s="80" t="n">
        <x:f>Performance_Canal!G10</x:f>
        <x:v>0</x:v>
      </x:c>
      <x:c r="C10" s="66"/>
      <x:c r="D10" s="48" t="n">
        <x:f>IFERROR(C10/B10,0)</x:f>
        <x:v>0</x:v>
      </x:c>
      <x:c r="E10" s="66"/>
      <x:c r="F10" s="48" t="n">
        <x:f>IFERROR(E10/C10,0)</x:f>
        <x:v>0</x:v>
      </x:c>
      <x:c r="G10" s="66"/>
      <x:c r="H10" s="48" t="n">
        <x:f>IFERROR(G10/B10,0)</x:f>
        <x:v>0</x:v>
      </x:c>
      <x:c r="I10" s="66"/>
      <x:c r="J10" s="48" t="n">
        <x:f>IFERROR(I10/G10,0)</x:f>
        <x:v>0</x:v>
      </x:c>
      <x:c r="K10" s="66"/>
      <x:c r="L10" s="48" t="n">
        <x:f>IFERROR(K10/I10,0)</x:f>
        <x:v>0</x:v>
      </x:c>
      <x:c r="M10" s="48" t="n">
        <x:f>IFERROR(K10/B10,0)</x:f>
        <x:v>0</x:v>
      </x:c>
    </x:row>
    <x:row r="11">
      <x:c r="A11" t="str">
        <x:v>Influence</x:v>
      </x:c>
      <x:c r="B11" s="80" t="n">
        <x:f>Performance_Canal!G11</x:f>
        <x:v>0</x:v>
      </x:c>
      <x:c r="C11" s="66"/>
      <x:c r="D11" s="48" t="n">
        <x:f>IFERROR(C11/B11,0)</x:f>
        <x:v>0</x:v>
      </x:c>
      <x:c r="E11" s="66"/>
      <x:c r="F11" s="48" t="n">
        <x:f>IFERROR(E11/C11,0)</x:f>
        <x:v>0</x:v>
      </x:c>
      <x:c r="G11" s="66"/>
      <x:c r="H11" s="48" t="n">
        <x:f>IFERROR(G11/B11,0)</x:f>
        <x:v>0</x:v>
      </x:c>
      <x:c r="I11" s="66"/>
      <x:c r="J11" s="48" t="n">
        <x:f>IFERROR(I11/G11,0)</x:f>
        <x:v>0</x:v>
      </x:c>
      <x:c r="K11" s="66"/>
      <x:c r="L11" s="48" t="n">
        <x:f>IFERROR(K11/I11,0)</x:f>
        <x:v>0</x:v>
      </x:c>
      <x:c r="M11" s="48" t="n">
        <x:f>IFERROR(K11/B11,0)</x:f>
        <x:v>0</x:v>
      </x:c>
    </x:row>
    <x:row r="12">
      <x:c r="A12" t="str">
        <x:v>Programmatic</x:v>
      </x:c>
      <x:c r="B12" s="80" t="n">
        <x:f>Performance_Canal!G12</x:f>
        <x:v>0</x:v>
      </x:c>
      <x:c r="C12" s="66"/>
      <x:c r="D12" s="48" t="n">
        <x:f>IFERROR(C12/B12,0)</x:f>
        <x:v>0</x:v>
      </x:c>
      <x:c r="E12" s="66"/>
      <x:c r="F12" s="48" t="n">
        <x:f>IFERROR(E12/C12,0)</x:f>
        <x:v>0</x:v>
      </x:c>
      <x:c r="G12" s="66"/>
      <x:c r="H12" s="48" t="n">
        <x:f>IFERROR(G12/B12,0)</x:f>
        <x:v>0</x:v>
      </x:c>
      <x:c r="I12" s="66"/>
      <x:c r="J12" s="48" t="n">
        <x:f>IFERROR(I12/G12,0)</x:f>
        <x:v>0</x:v>
      </x:c>
      <x:c r="K12" s="66"/>
      <x:c r="L12" s="48" t="n">
        <x:f>IFERROR(K12/I12,0)</x:f>
        <x:v>0</x:v>
      </x:c>
      <x:c r="M12" s="48" t="n">
        <x:f>IFERROR(K12/B12,0)</x:f>
        <x:v>0</x:v>
      </x:c>
    </x:row>
    <x:row r="13">
      <x:c r="A13" t="str">
        <x:v>Emailing / CRM</x:v>
      </x:c>
      <x:c r="B13" s="80" t="n">
        <x:f>Performance_Canal!G13</x:f>
        <x:v>0</x:v>
      </x:c>
      <x:c r="C13" s="66"/>
      <x:c r="D13" s="48" t="n">
        <x:f>IFERROR(C13/B13,0)</x:f>
        <x:v>0</x:v>
      </x:c>
      <x:c r="E13" s="66"/>
      <x:c r="F13" s="48" t="n">
        <x:f>IFERROR(E13/C13,0)</x:f>
        <x:v>0</x:v>
      </x:c>
      <x:c r="G13" s="66"/>
      <x:c r="H13" s="48" t="n">
        <x:f>IFERROR(G13/B13,0)</x:f>
        <x:v>0</x:v>
      </x:c>
      <x:c r="I13" s="66"/>
      <x:c r="J13" s="48" t="n">
        <x:f>IFERROR(I13/G13,0)</x:f>
        <x:v>0</x:v>
      </x:c>
      <x:c r="K13" s="66"/>
      <x:c r="L13" s="48" t="n">
        <x:f>IFERROR(K13/I13,0)</x:f>
        <x:v>0</x:v>
      </x:c>
      <x:c r="M13" s="48" t="n">
        <x:f>IFERROR(K13/B13,0)</x:f>
        <x:v>0</x:v>
      </x:c>
    </x:row>
    <x:row r="14">
      <x:c r="A14" t="str">
        <x:v>Autres</x:v>
      </x:c>
      <x:c r="B14" s="80" t="n">
        <x:f>Performance_Canal!G14</x:f>
        <x:v>0</x:v>
      </x:c>
      <x:c r="C14" s="66"/>
      <x:c r="D14" s="48" t="n">
        <x:f>IFERROR(C14/B14,0)</x:f>
        <x:v>0</x:v>
      </x:c>
      <x:c r="E14" s="66"/>
      <x:c r="F14" s="48" t="n">
        <x:f>IFERROR(E14/C14,0)</x:f>
        <x:v>0</x:v>
      </x:c>
      <x:c r="G14" s="66"/>
      <x:c r="H14" s="48" t="n">
        <x:f>IFERROR(G14/B14,0)</x:f>
        <x:v>0</x:v>
      </x:c>
      <x:c r="I14" s="66"/>
      <x:c r="J14" s="48" t="n">
        <x:f>IFERROR(I14/G14,0)</x:f>
        <x:v>0</x:v>
      </x:c>
      <x:c r="K14" s="66"/>
      <x:c r="L14" s="48" t="n">
        <x:f>IFERROR(K14/I14,0)</x:f>
        <x:v>0</x:v>
      </x:c>
      <x:c r="M14" s="48" t="n">
        <x:f>IFERROR(K14/B14,0)</x:f>
        <x:v>0</x:v>
      </x:c>
    </x:row>
    <x:row r="16">
      <x:c r="A16" s="68" t="str">
        <x:v>TOTAL</x:v>
      </x:c>
      <x:c r="B16" s="68" t="n">
        <x:f>SUM(B6:B14)</x:f>
        <x:v>0</x:v>
      </x:c>
      <x:c r="C16" s="68" t="n">
        <x:f>SUM(C6:C14)</x:f>
        <x:v>0</x:v>
      </x:c>
      <x:c r="D16" s="70" t="n">
        <x:f>IFERROR(C16/B16,0)</x:f>
        <x:v>0</x:v>
      </x:c>
      <x:c r="E16" s="68" t="n">
        <x:f>SUM(E6:E14)</x:f>
        <x:v>0</x:v>
      </x:c>
      <x:c r="F16" s="70" t="n">
        <x:f>IFERROR(E16/C16,0)</x:f>
        <x:v>0</x:v>
      </x:c>
      <x:c r="G16" s="68" t="n">
        <x:f>SUM(G6:G14)</x:f>
        <x:v>0</x:v>
      </x:c>
      <x:c r="H16" s="70" t="n">
        <x:f>IFERROR(G16/B16,0)</x:f>
        <x:v>0</x:v>
      </x:c>
      <x:c r="I16" s="68" t="n">
        <x:f>SUM(I6:I14)</x:f>
        <x:v>0</x:v>
      </x:c>
      <x:c r="J16" s="70" t="n">
        <x:f>IFERROR(I16/G16,0)</x:f>
        <x:v>0</x:v>
      </x:c>
      <x:c r="K16" s="68" t="n">
        <x:f>SUM(K6:K14)</x:f>
        <x:v>0</x:v>
      </x:c>
      <x:c r="L16" s="70" t="n">
        <x:f>IFERROR(K16/I16,0)</x:f>
        <x:v>0</x:v>
      </x:c>
      <x:c r="M16" s="70" t="n">
        <x:f>IFERROR(K16/B16,0)</x:f>
        <x:v>0</x:v>
      </x:c>
    </x:row>
    <x:row r="19">
      <x:c r="A19" s="237" t="str">
        <x:v>La qualité des leads doit être alimentée par les données CRM / commerciales. Objectif : dépasser le simple CPL pour mesurer la transformation jusqu'à la vente.</x:v>
      </x:c>
      <x:c r="B19" s="237"/>
      <x:c r="C19" s="237"/>
      <x:c r="D19" s="237"/>
      <x:c r="E19" s="237"/>
      <x:c r="F19" s="237"/>
      <x:c r="G19" s="237"/>
      <x:c r="H19" s="237"/>
      <x:c r="I19" s="237"/>
      <x:c r="J19" s="237"/>
      <x:c r="K19" s="237"/>
      <x:c r="L19" s="237"/>
      <x:c r="M19" s="237"/>
    </x:row>
    <x:row r="20">
      <x:c r="A20" s="237"/>
      <x:c r="B20" s="237"/>
      <x:c r="C20" s="237"/>
      <x:c r="D20" s="237"/>
      <x:c r="E20" s="237"/>
      <x:c r="F20" s="237"/>
      <x:c r="G20" s="237"/>
      <x:c r="H20" s="237"/>
      <x:c r="I20" s="237"/>
      <x:c r="J20" s="237"/>
      <x:c r="K20" s="237"/>
      <x:c r="L20" s="237"/>
      <x:c r="M20" s="237"/>
    </x:row>
  </x:sheetData>
  <x:mergeCells>
    <x:mergeCell ref="A1:M2"/>
    <x:mergeCell ref="A3:M3"/>
    <x:mergeCell ref="A19:M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8" hidden="0" customWidth="1"/>
    <x:col min="7" max="7" width="20" hidden="0" customWidth="1"/>
  </x:cols>
  <x:sheetData>
    <x:row r="1">
      <x:c r="A1" s="4" t="str">
        <x:v>RICHMEDIA | Forecast vs Réel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9" t="str">
        <x:v>Saisissez votre forecast. Les valeurs réelles se remontent automatiquement.</x:v>
      </x:c>
      <x:c r="B3" s="9"/>
      <x:c r="C3" s="9"/>
      <x:c r="D3" s="9"/>
      <x:c r="E3" s="9"/>
      <x:c r="F3" s="9"/>
      <x:c r="G3" s="9"/>
    </x:row>
    <x:row r="5">
      <x:c r="A5" s="17" t="str">
        <x:v>KPI</x:v>
      </x:c>
      <x:c r="B5" s="17" t="str">
        <x:v>Forecast</x:v>
      </x:c>
      <x:c r="C5" s="17" t="str">
        <x:v>Réel</x:v>
      </x:c>
      <x:c r="D5" s="17" t="str">
        <x:v>Écart</x:v>
      </x:c>
      <x:c r="E5" s="17" t="str">
        <x:v>Écart %</x:v>
      </x:c>
      <x:c r="F5" s="17" t="str">
        <x:v>Sens</x:v>
      </x:c>
      <x:c r="G5" s="17" t="str">
        <x:v>Statut</x:v>
      </x:c>
    </x:row>
    <x:row r="6">
      <x:c r="A6" t="str">
        <x:v>Budget</x:v>
      </x:c>
      <x:c r="B6" s="62"/>
      <x:c r="C6" s="82" t="n">
        <x:f>Performance_Canal!B16</x:f>
        <x:v>0</x:v>
      </x:c>
      <x:c r="D6" s="64" t="str">
        <x:f>IF(OR(B6="",B6=0),"",C6-B6)</x:f>
      </x:c>
      <x:c r="E6" s="48" t="str">
        <x:f>IF(OR(B6="",B6=0),"",(C6-B6)/B6)</x:f>
      </x:c>
      <x:c r="F6" t="str">
        <x:v>Plus bas mieux</x:v>
      </x:c>
      <x:c r="G6" t="str">
        <x:f>IF(OR(B6="",B6=0),"",IF(F6="Plus haut mieux",IF(C6&gt;=B6,"🟢 Objectif atteint",IF(C6&gt;=B6*(1-Parametres!$B$10),"🟠 Proche objectif","🔴 Sous objectif")),IF(C6&lt;=B6,"🟢 Objectif atteint",IF(C6&lt;=B6*(1+Parametres!$B$10),"🟠 Proche objectif","🔴 Au-dessus"))))</x:f>
      </x:c>
    </x:row>
    <x:row r="7">
      <x:c r="A7" t="str">
        <x:v>Impressions</x:v>
      </x:c>
      <x:c r="B7" s="66"/>
      <x:c r="C7" s="80" t="n">
        <x:f>Performance_Canal!C16</x:f>
        <x:v>0</x:v>
      </x:c>
      <x:c r="D7" s="88" t="str">
        <x:f>IF(OR(B7="",B7=0),"",C7-B7)</x:f>
      </x:c>
      <x:c r="E7" s="48" t="str">
        <x:f>IF(OR(B7="",B7=0),"",(C7-B7)/B7)</x:f>
      </x:c>
      <x:c r="F7" t="str">
        <x:v>Plus haut mieux</x:v>
      </x:c>
      <x:c r="G7" t="str">
        <x:f>IF(OR(B7="",B7=0),"",IF(F7="Plus haut mieux",IF(C7&gt;=B7,"🟢 Objectif atteint",IF(C7&gt;=B7*(1-Parametres!$B$10),"🟠 Proche objectif","🔴 Sous objectif")),IF(C7&lt;=B7,"🟢 Objectif atteint",IF(C7&lt;=B7*(1+Parametres!$B$10),"🟠 Proche objectif","🔴 Au-dessus"))))</x:f>
      </x:c>
    </x:row>
    <x:row r="8">
      <x:c r="A8" t="str">
        <x:v>Clics</x:v>
      </x:c>
      <x:c r="B8" s="66"/>
      <x:c r="C8" s="80" t="n">
        <x:f>Performance_Canal!D16</x:f>
        <x:v>0</x:v>
      </x:c>
      <x:c r="D8" s="88" t="str">
        <x:f>IF(OR(B8="",B8=0),"",C8-B8)</x:f>
      </x:c>
      <x:c r="E8" s="48" t="str">
        <x:f>IF(OR(B8="",B8=0),"",(C8-B8)/B8)</x:f>
      </x:c>
      <x:c r="F8" t="str">
        <x:v>Plus haut mieux</x:v>
      </x:c>
      <x:c r="G8" t="str">
        <x:f>IF(OR(B8="",B8=0),"",IF(F8="Plus haut mieux",IF(C8&gt;=B8,"🟢 Objectif atteint",IF(C8&gt;=B8*(1-Parametres!$B$10),"🟠 Proche objectif","🔴 Sous objectif")),IF(C8&lt;=B8,"🟢 Objectif atteint",IF(C8&lt;=B8*(1+Parametres!$B$10),"🟠 Proche objectif","🔴 Au-dessus"))))</x:f>
      </x:c>
    </x:row>
    <x:row r="9">
      <x:c r="A9" t="str">
        <x:v>CTR</x:v>
      </x:c>
      <x:c r="B9" s="84"/>
      <x:c r="C9" s="85" t="n">
        <x:f>Performance_Canal!E16</x:f>
        <x:v>0</x:v>
      </x:c>
      <x:c r="D9" s="48" t="str">
        <x:f>IF(OR(B9="",B9=0),"",C9-B9)</x:f>
      </x:c>
      <x:c r="E9" s="48" t="str">
        <x:f>IF(OR(B9="",B9=0),"",(C9-B9)/B9)</x:f>
      </x:c>
      <x:c r="F9" t="str">
        <x:v>Plus haut mieux</x:v>
      </x:c>
      <x:c r="G9" t="str">
        <x:f>IF(OR(B9="",B9=0),"",IF(F9="Plus haut mieux",IF(C9&gt;=B9,"🟢 Objectif atteint",IF(C9&gt;=B9*(1-Parametres!$B$10),"🟠 Proche objectif","🔴 Sous objectif")),IF(C9&lt;=B9,"🟢 Objectif atteint",IF(C9&lt;=B9*(1+Parametres!$B$10),"🟠 Proche objectif","🔴 Au-dessus"))))</x:f>
      </x:c>
    </x:row>
    <x:row r="10">
      <x:c r="A10" t="str">
        <x:v>Leads</x:v>
      </x:c>
      <x:c r="B10" s="66"/>
      <x:c r="C10" s="80" t="n">
        <x:f>Performance_Canal!G16</x:f>
        <x:v>0</x:v>
      </x:c>
      <x:c r="D10" s="88" t="str">
        <x:f>IF(OR(B10="",B10=0),"",C10-B10)</x:f>
      </x:c>
      <x:c r="E10" s="48" t="str">
        <x:f>IF(OR(B10="",B10=0),"",(C10-B10)/B10)</x:f>
      </x:c>
      <x:c r="F10" t="str">
        <x:v>Plus haut mieux</x:v>
      </x:c>
      <x:c r="G10" t="str">
        <x:f>IF(OR(B10="",B10=0),"",IF(F10="Plus haut mieux",IF(C10&gt;=B10,"🟢 Objectif atteint",IF(C10&gt;=B10*(1-Parametres!$B$10),"🟠 Proche objectif","🔴 Sous objectif")),IF(C10&lt;=B10,"🟢 Objectif atteint",IF(C10&lt;=B10*(1+Parametres!$B$10),"🟠 Proche objectif","🔴 Au-dessus"))))</x:f>
      </x:c>
    </x:row>
    <x:row r="11">
      <x:c r="A11" t="str">
        <x:v>CPL</x:v>
      </x:c>
      <x:c r="B11" s="62"/>
      <x:c r="C11" s="82" t="n">
        <x:f>Performance_Canal!H16</x:f>
        <x:v>0</x:v>
      </x:c>
      <x:c r="D11" s="64" t="str">
        <x:f>IF(OR(B11="",B11=0),"",C11-B11)</x:f>
      </x:c>
      <x:c r="E11" s="48" t="str">
        <x:f>IF(OR(B11="",B11=0),"",(C11-B11)/B11)</x:f>
      </x:c>
      <x:c r="F11" t="str">
        <x:v>Plus bas mieux</x:v>
      </x:c>
      <x:c r="G11" t="str">
        <x:f>IF(OR(B11="",B11=0),"",IF(F11="Plus haut mieux",IF(C11&gt;=B11,"🟢 Objectif atteint",IF(C11&gt;=B11*(1-Parametres!$B$10),"🟠 Proche objectif","🔴 Sous objectif")),IF(C11&lt;=B11,"🟢 Objectif atteint",IF(C11&lt;=B11*(1+Parametres!$B$10),"🟠 Proche objectif","🔴 Au-dessus"))))</x:f>
      </x:c>
    </x:row>
    <x:row r="12">
      <x:c r="A12" t="str">
        <x:v>Conversions</x:v>
      </x:c>
      <x:c r="B12" s="66"/>
      <x:c r="C12" s="80" t="n">
        <x:f>Performance_Canal!I16</x:f>
        <x:v>0</x:v>
      </x:c>
      <x:c r="D12" s="88" t="str">
        <x:f>IF(OR(B12="",B12=0),"",C12-B12)</x:f>
      </x:c>
      <x:c r="E12" s="48" t="str">
        <x:f>IF(OR(B12="",B12=0),"",(C12-B12)/B12)</x:f>
      </x:c>
      <x:c r="F12" t="str">
        <x:v>Plus haut mieux</x:v>
      </x:c>
      <x:c r="G12" t="str">
        <x:f>IF(OR(B12="",B12=0),"",IF(F12="Plus haut mieux",IF(C12&gt;=B12,"🟢 Objectif atteint",IF(C12&gt;=B12*(1-Parametres!$B$10),"🟠 Proche objectif","🔴 Sous objectif")),IF(C12&lt;=B12,"🟢 Objectif atteint",IF(C12&lt;=B12*(1+Parametres!$B$10),"🟠 Proche objectif","🔴 Au-dessus"))))</x:f>
      </x:c>
    </x:row>
    <x:row r="13">
      <x:c r="A13" t="str">
        <x:v>CPA</x:v>
      </x:c>
      <x:c r="B13" s="62"/>
      <x:c r="C13" s="82" t="n">
        <x:f>Performance_Canal!J16</x:f>
        <x:v>0</x:v>
      </x:c>
      <x:c r="D13" s="64" t="str">
        <x:f>IF(OR(B13="",B13=0),"",C13-B13)</x:f>
      </x:c>
      <x:c r="E13" s="48" t="str">
        <x:f>IF(OR(B13="",B13=0),"",(C13-B13)/B13)</x:f>
      </x:c>
      <x:c r="F13" t="str">
        <x:v>Plus bas mieux</x:v>
      </x:c>
      <x:c r="G13" t="str">
        <x:f>IF(OR(B13="",B13=0),"",IF(F13="Plus haut mieux",IF(C13&gt;=B13,"🟢 Objectif atteint",IF(C13&gt;=B13*(1-Parametres!$B$10),"🟠 Proche objectif","🔴 Sous objectif")),IF(C13&lt;=B13,"🟢 Objectif atteint",IF(C13&lt;=B13*(1+Parametres!$B$10),"🟠 Proche objectif","🔴 Au-dessus"))))</x:f>
      </x:c>
    </x:row>
    <x:row r="14">
      <x:c r="A14" t="str">
        <x:v>Ventes</x:v>
      </x:c>
      <x:c r="B14" s="66"/>
      <x:c r="C14" s="80" t="n">
        <x:f>Qualite_Leads!K16</x:f>
        <x:v>0</x:v>
      </x:c>
      <x:c r="D14" s="88" t="str">
        <x:f>IF(OR(B14="",B14=0),"",C14-B14)</x:f>
      </x:c>
      <x:c r="E14" s="48" t="str">
        <x:f>IF(OR(B14="",B14=0),"",(C14-B14)/B14)</x:f>
      </x:c>
      <x:c r="F14" t="str">
        <x:v>Plus haut mieux</x:v>
      </x:c>
      <x:c r="G14" t="str">
        <x:f>IF(OR(B14="",B14=0),"",IF(F14="Plus haut mieux",IF(C14&gt;=B14,"🟢 Objectif atteint",IF(C14&gt;=B14*(1-Parametres!$B$10),"🟠 Proche objectif","🔴 Sous objectif")),IF(C14&lt;=B14,"🟢 Objectif atteint",IF(C14&lt;=B14*(1+Parametres!$B$10),"🟠 Proche objectif","🔴 Au-dessus"))))</x:f>
      </x:c>
    </x:row>
    <x:row r="15">
      <x:c r="A15" t="str">
        <x:v>CAC</x:v>
      </x:c>
      <x:c r="B15" s="62"/>
      <x:c r="C15" s="82" t="n">
        <x:f>IFERROR(Performance_Canal!B16/Qualite_Leads!K16,0)</x:f>
        <x:v>0</x:v>
      </x:c>
      <x:c r="D15" s="64" t="str">
        <x:f>IF(OR(B15="",B15=0),"",C15-B15)</x:f>
      </x:c>
      <x:c r="E15" s="48" t="str">
        <x:f>IF(OR(B15="",B15=0),"",(C15-B15)/B15)</x:f>
      </x:c>
      <x:c r="F15" t="str">
        <x:v>Plus bas mieux</x:v>
      </x:c>
      <x:c r="G15" t="str">
        <x:f>IF(OR(B15="",B15=0),"",IF(F15="Plus haut mieux",IF(C15&gt;=B15,"🟢 Objectif atteint",IF(C15&gt;=B15*(1-Parametres!$B$10),"🟠 Proche objectif","🔴 Sous objectif")),IF(C15&lt;=B15,"🟢 Objectif atteint",IF(C15&lt;=B15*(1+Parametres!$B$10),"🟠 Proche objectif","🔴 Au-dessus"))))</x:f>
      </x:c>
    </x:row>
    <x:row r="16">
      <x:c r="A16" t="str">
        <x:v>CA attribué</x:v>
      </x:c>
      <x:c r="B16" s="62"/>
      <x:c r="C16" s="82" t="n">
        <x:f>Performance_Canal!K16</x:f>
        <x:v>0</x:v>
      </x:c>
      <x:c r="D16" s="64" t="str">
        <x:f>IF(OR(B16="",B16=0),"",C16-B16)</x:f>
      </x:c>
      <x:c r="E16" s="48" t="str">
        <x:f>IF(OR(B16="",B16=0),"",(C16-B16)/B16)</x:f>
      </x:c>
      <x:c r="F16" t="str">
        <x:v>Plus haut mieux</x:v>
      </x:c>
      <x:c r="G16" t="str">
        <x:f>IF(OR(B16="",B16=0),"",IF(F16="Plus haut mieux",IF(C16&gt;=B16,"🟢 Objectif atteint",IF(C16&gt;=B16*(1-Parametres!$B$10),"🟠 Proche objectif","🔴 Sous objectif")),IF(C16&lt;=B16,"🟢 Objectif atteint",IF(C16&lt;=B16*(1+Parametres!$B$10),"🟠 Proche objectif","🔴 Au-dessus"))))</x:f>
      </x:c>
    </x:row>
    <x:row r="17">
      <x:c r="A17" t="str">
        <x:v>ROAS</x:v>
      </x:c>
      <x:c r="B17" s="240"/>
      <x:c r="C17" s="241" t="n">
        <x:f>Performance_Canal!L16</x:f>
        <x:v>0</x:v>
      </x:c>
      <x:c r="D17" s="60" t="str">
        <x:f>IF(OR(B17="",B17=0),"",C17-B17)</x:f>
      </x:c>
      <x:c r="E17" s="48" t="str">
        <x:f>IF(OR(B17="",B17=0),"",(C17-B17)/B17)</x:f>
      </x:c>
      <x:c r="F17" t="str">
        <x:v>Plus haut mieux</x:v>
      </x:c>
      <x:c r="G17" t="str">
        <x:f>IF(OR(B17="",B17=0),"",IF(F17="Plus haut mieux",IF(C17&gt;=B17,"🟢 Objectif atteint",IF(C17&gt;=B17*(1-Parametres!$B$10),"🟠 Proche objectif","🔴 Sous objectif")),IF(C17&lt;=B17,"🟢 Objectif atteint",IF(C17&lt;=B17*(1+Parametres!$B$10),"🟠 Proche objectif","🔴 Au-dessus"))))</x:f>
      </x:c>
    </x:row>
    <x:row r="20">
      <x:c r="A20" s="237" t="str">
        <x:v>Le statut tient compte du sens du KPI : plus haut est préférable pour volume / revenu, plus bas est préférable pour coûts. Le seuil de vigilance est modifiable dans Parametres.</x:v>
      </x:c>
      <x:c r="B20" s="237"/>
      <x:c r="C20" s="237"/>
      <x:c r="D20" s="237"/>
      <x:c r="E20" s="237"/>
      <x:c r="F20" s="237"/>
      <x:c r="G20" s="237"/>
    </x:row>
    <x:row r="21">
      <x:c r="A21" s="237"/>
      <x:c r="B21" s="237"/>
      <x:c r="C21" s="237"/>
      <x:c r="D21" s="237"/>
      <x:c r="E21" s="237"/>
      <x:c r="F21" s="237"/>
      <x:c r="G21" s="237"/>
    </x:row>
  </x:sheetData>
  <x:mergeCells>
    <x:mergeCell ref="A1:G2"/>
    <x:mergeCell ref="A3:G3"/>
    <x:mergeCell ref="A20:G21"/>
  </x:mergeCells>
  <x:conditionalFormatting sqref="G6:G17">
    <x:cfRule type="expression" dxfId="3" priority="1">
      <x:formula>LEFT(G6,1)="🟢"</x:formula>
    </x:cfRule>
    <x:cfRule type="expression" dxfId="4" priority="2">
      <x:formula>LEFT(G6,1)="🟠"</x:formula>
    </x:cfRule>
    <x:cfRule type="expression" dxfId="5" priority="3">
      <x:formula>LEFT(G6,1)="🔴"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8" hidden="0" customWidth="1"/>
    <x:col min="5" max="5" width="28" hidden="0" customWidth="1"/>
    <x:col min="7" max="7" width="26" hidden="0" customWidth="1"/>
    <x:col min="8" max="8" width="14" hidden="0" customWidth="1"/>
    <x:col min="9" max="9" width="14" hidden="0" customWidth="1"/>
    <x:col min="10" max="10" width="12" hidden="0" customWidth="1"/>
  </x:cols>
  <x:sheetData>
    <x:row r="1">
      <x:c r="A1" s="4" t="str">
        <x:v>RICHMEDIA | Benchmarks Marketing Digital 2026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9" t="str">
        <x:v>Données propriétaires Richmedia 2022–2026 — 400 campagnes, 82 clients.</x:v>
      </x:c>
      <x:c r="B3" s="9"/>
      <x:c r="C3" s="9"/>
      <x:c r="D3" s="9"/>
      <x:c r="E3" s="9"/>
      <x:c r="F3" s="9"/>
      <x:c r="G3" s="9"/>
      <x:c r="H3" s="9"/>
      <x:c r="I3" s="9"/>
      <x:c r="J3" s="9"/>
    </x:row>
    <x:row r="5">
      <x:c r="A5" s="17" t="str">
        <x:v>META ADS</x:v>
      </x:c>
      <x:c r="B5" s="17" t="str">
        <x:v>Minimum</x:v>
      </x:c>
      <x:c r="C5" s="17" t="str">
        <x:v>Maximum</x:v>
      </x:c>
      <x:c r="D5" s="17" t="str">
        <x:v>Unité</x:v>
      </x:c>
      <x:c r="E5" s="17" t="str">
        <x:v>Note</x:v>
      </x:c>
      <x:c r="G5" s="17" t="str">
        <x:v>WHATSAPP</x:v>
      </x:c>
      <x:c r="H5" s="17" t="str">
        <x:v>Minimum</x:v>
      </x:c>
      <x:c r="I5" s="17" t="str">
        <x:v>Maximum</x:v>
      </x:c>
      <x:c r="J5" s="17" t="str">
        <x:v>Unité</x:v>
      </x:c>
    </x:row>
    <x:row r="6">
      <x:c r="A6" t="str">
        <x:v>CPM</x:v>
      </x:c>
      <x:c r="B6" s="46" t="n">
        <x:v>5</x:v>
      </x:c>
      <x:c r="C6" s="46" t="n">
        <x:v>18</x:v>
      </x:c>
      <x:c r="D6" t="str">
        <x:v>MAD</x:v>
      </x:c>
      <x:c r="E6" t="str">
        <x:v>Fourchette observée</x:v>
      </x:c>
      <x:c r="G6" t="str">
        <x:v>Lecture / ouverture</x:v>
      </x:c>
      <x:c r="H6" s="48" t="n">
        <x:v>0.8</x:v>
      </x:c>
      <x:c r="I6" s="48" t="n">
        <x:v>0.95</x:v>
      </x:c>
      <x:c r="J6" t="str">
        <x:v>%</x:v>
      </x:c>
    </x:row>
    <x:row r="7">
      <x:c r="A7" t="str">
        <x:v>CPC</x:v>
      </x:c>
      <x:c r="B7" s="46" t="n">
        <x:v>0.4</x:v>
      </x:c>
      <x:c r="C7" s="46" t="n">
        <x:v>2.5</x:v>
      </x:c>
      <x:c r="D7" t="str">
        <x:v>MAD</x:v>
      </x:c>
      <x:c r="E7" t="str">
        <x:v>Fourchette observée</x:v>
      </x:c>
      <x:c r="G7" t="str">
        <x:v>Clic</x:v>
      </x:c>
      <x:c r="H7" s="48" t="n">
        <x:v>0.08</x:v>
      </x:c>
      <x:c r="I7" s="48" t="n">
        <x:v>0.25</x:v>
      </x:c>
      <x:c r="J7" t="str">
        <x:v>%</x:v>
      </x:c>
    </x:row>
    <x:row r="8">
      <x:c r="A8" t="str">
        <x:v>CTR</x:v>
      </x:c>
      <x:c r="B8" s="48" t="n">
        <x:v>0.008</x:v>
      </x:c>
      <x:c r="C8" s="48" t="n">
        <x:v>0.032</x:v>
      </x:c>
      <x:c r="D8" t="str">
        <x:v>%</x:v>
      </x:c>
      <x:c r="E8" t="str">
        <x:v>Fourchette observée</x:v>
      </x:c>
      <x:c r="G8" t="str">
        <x:v>Réponse</x:v>
      </x:c>
      <x:c r="H8" s="48" t="n">
        <x:v>0.03</x:v>
      </x:c>
      <x:c r="I8" s="48" t="n">
        <x:v>0.25</x:v>
      </x:c>
      <x:c r="J8" t="str">
        <x:v>%</x:v>
      </x:c>
    </x:row>
    <x:row r="9">
      <x:c r="A9" t="str">
        <x:v>CPL</x:v>
      </x:c>
      <x:c r="B9" s="50" t="n">
        <x:v>8</x:v>
      </x:c>
      <x:c r="C9" s="50" t="n">
        <x:v>180</x:v>
      </x:c>
      <x:c r="D9" t="str">
        <x:v>MAD</x:v>
      </x:c>
      <x:c r="E9" t="str">
        <x:v>Fourchette globale observée</x:v>
      </x:c>
      <x:c r="G9" t="str">
        <x:v>Opt-out</x:v>
      </x:c>
      <x:c r="H9" s="48" t="n">
        <x:v>0.002</x:v>
      </x:c>
      <x:c r="I9" s="48" t="n">
        <x:v>0.02</x:v>
      </x:c>
      <x:c r="J9" t="str">
        <x:v>%</x:v>
      </x:c>
    </x:row>
    <x:row r="10">
      <x:c r="G10" t="str">
        <x:v>Conversion</x:v>
      </x:c>
      <x:c r="H10" s="48" t="n">
        <x:v>0.05</x:v>
      </x:c>
      <x:c r="I10" s="48" t="n">
        <x:v>0.08</x:v>
      </x:c>
      <x:c r="J10" t="str">
        <x:v>%</x:v>
      </x:c>
    </x:row>
    <x:row r="11">
      <x:c r="A11" s="17" t="str">
        <x:v>GOOGLE ADS</x:v>
      </x:c>
      <x:c r="B11" s="17" t="str">
        <x:v>Minimum</x:v>
      </x:c>
      <x:c r="C11" s="17" t="str">
        <x:v>Maximum</x:v>
      </x:c>
      <x:c r="D11" s="17" t="str">
        <x:v>Unité</x:v>
      </x:c>
      <x:c r="E11" s="17" t="str">
        <x:v>Note</x:v>
      </x:c>
    </x:row>
    <x:row r="12">
      <x:c r="A12" t="str">
        <x:v>CPC</x:v>
      </x:c>
      <x:c r="B12" s="46" t="n">
        <x:v>2</x:v>
      </x:c>
      <x:c r="C12" s="46" t="n">
        <x:v>8</x:v>
      </x:c>
      <x:c r="D12" t="str">
        <x:v>MAD</x:v>
      </x:c>
      <x:c r="E12" t="str">
        <x:v>Fourchette observée</x:v>
      </x:c>
    </x:row>
    <x:row r="13">
      <x:c r="A13" t="str">
        <x:v>CTR</x:v>
      </x:c>
      <x:c r="B13" s="48" t="n">
        <x:v>0.03</x:v>
      </x:c>
      <x:c r="C13" s="48" t="n">
        <x:v>0.07</x:v>
      </x:c>
      <x:c r="D13" t="str">
        <x:v>%</x:v>
      </x:c>
      <x:c r="E13" t="str">
        <x:v>Fourchette observée</x:v>
      </x:c>
    </x:row>
    <x:row r="14">
      <x:c r="A14" t="str">
        <x:v>CPL</x:v>
      </x:c>
      <x:c r="B14" s="50" t="n">
        <x:v>18</x:v>
      </x:c>
      <x:c r="C14" s="50" t="n">
        <x:v>150</x:v>
      </x:c>
      <x:c r="D14" t="str">
        <x:v>MAD</x:v>
      </x:c>
      <x:c r="E14" t="str">
        <x:v>Fourchette observée</x:v>
      </x:c>
    </x:row>
    <x:row r="15">
      <x:c r="A15" t="str">
        <x:v>Taux de conversion</x:v>
      </x:c>
      <x:c r="B15" s="48" t="n">
        <x:v>0.03</x:v>
      </x:c>
      <x:c r="C15" s="48" t="n">
        <x:v>0.1</x:v>
      </x:c>
      <x:c r="D15" t="str">
        <x:v>%</x:v>
      </x:c>
      <x:c r="E15" t="str">
        <x:v>Fourchette observée</x:v>
      </x:c>
    </x:row>
    <x:row r="18">
      <x:c r="A18" s="17" t="str">
        <x:v>CPL PAR SECTEUR / SEGMENT</x:v>
      </x:c>
      <x:c r="B18" s="17" t="str">
        <x:v>CPL Min</x:v>
      </x:c>
      <x:c r="C18" s="17" t="str">
        <x:v>CPL Max</x:v>
      </x:c>
      <x:c r="D18" s="17" t="str">
        <x:v>Note</x:v>
      </x:c>
    </x:row>
    <x:row r="19">
      <x:c r="A19" t="str">
        <x:v>Éducation - Bachelier</x:v>
      </x:c>
      <x:c r="B19" s="50" t="n">
        <x:v>20</x:v>
      </x:c>
      <x:c r="C19" s="50" t="n">
        <x:v>40</x:v>
      </x:c>
      <x:c r="D19" t="str">
        <x:v>Donnée validée</x:v>
      </x:c>
    </x:row>
    <x:row r="20">
      <x:c r="A20" t="str">
        <x:v>Éducation - Master</x:v>
      </x:c>
      <x:c r="B20" s="50" t="n">
        <x:v>20</x:v>
      </x:c>
      <x:c r="C20" s="50" t="n">
        <x:v>50</x:v>
      </x:c>
      <x:c r="D20" t="str">
        <x:v>Donnée validée</x:v>
      </x:c>
    </x:row>
    <x:row r="21">
      <x:c r="A21" t="str">
        <x:v>Éducation - Formation continue / MBA</x:v>
      </x:c>
      <x:c r="B21" s="50" t="n">
        <x:v>60</x:v>
      </x:c>
      <x:c r="C21" s="50" t="n">
        <x:v>120</x:v>
      </x:c>
      <x:c r="D21" t="str">
        <x:v>Donnée validée</x:v>
      </x:c>
    </x:row>
    <x:row r="22">
      <x:c r="A22" t="str">
        <x:v>Immobilier</x:v>
      </x:c>
      <x:c r="B22" s="50" t="n">
        <x:v>25</x:v>
      </x:c>
      <x:c r="C22" s="50" t="n">
        <x:v>220</x:v>
      </x:c>
      <x:c r="D22" t="str">
        <x:v>Fourchette observée</x:v>
      </x:c>
    </x:row>
    <x:row r="23">
      <x:c r="A23" t="str">
        <x:v>Automobile</x:v>
      </x:c>
      <x:c r="B23" s="50" t="n">
        <x:v>30</x:v>
      </x:c>
      <x:c r="C23" s="50" t="n">
        <x:v>100</x:v>
      </x:c>
      <x:c r="D23" t="str">
        <x:v>Fourchette observée</x:v>
      </x:c>
    </x:row>
    <x:row r="24">
      <x:c r="A24" t="str">
        <x:v>Retail / GMS</x:v>
      </x:c>
      <x:c r="B24" s="50" t="n">
        <x:v>8</x:v>
      </x:c>
      <x:c r="C24" s="50" t="n">
        <x:v>35</x:v>
      </x:c>
      <x:c r="D24" t="str">
        <x:v>Fourchette observée</x:v>
      </x:c>
    </x:row>
    <x:row r="25">
      <x:c r="A25" t="str">
        <x:v>Tourisme</x:v>
      </x:c>
      <x:c r="B25" s="50" t="n">
        <x:v>20</x:v>
      </x:c>
      <x:c r="C25" s="50" t="n">
        <x:v>70</x:v>
      </x:c>
      <x:c r="D25" t="str">
        <x:v>Fourchette observée</x:v>
      </x:c>
    </x:row>
    <x:row r="26">
      <x:c r="A26" t="str">
        <x:v>Banque / Assurance</x:v>
      </x:c>
      <x:c r="B26" s="50" t="n">
        <x:v>40</x:v>
      </x:c>
      <x:c r="C26" s="50" t="n">
        <x:v>120</x:v>
      </x:c>
      <x:c r="D26" t="str">
        <x:v>Fourchette observée</x:v>
      </x:c>
    </x:row>
    <x:row r="28">
      <x:c r="A28" s="55" t="str">
        <x:v>Note : les benchmarks sont des fourchettes observées dans l’échantillon Richmedia 2022–2026. Ils constituent des repères et non des garanties de performance ni des standards universels du marché.</x:v>
      </x:c>
      <x:c r="B28" s="55"/>
      <x:c r="C28" s="55"/>
      <x:c r="D28" s="55"/>
      <x:c r="E28" s="55"/>
      <x:c r="F28" s="55"/>
      <x:c r="G28" s="55"/>
      <x:c r="H28" s="55"/>
      <x:c r="I28" s="55"/>
      <x:c r="J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</x:row>
  </x:sheetData>
  <x:mergeCells>
    <x:mergeCell ref="A1:J2"/>
    <x:mergeCell ref="A3:J3"/>
    <x:mergeCell ref="A28:J2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</x:cols>
  <x:sheetData>
    <x:row r="1">
      <x:c r="A1" s="34" t="str">
        <x:v>RICHMEDIA | Paramètres du Dashboard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>
      <x:c r="A3" s="35" t="str">
        <x:v>Renseignez les informations générales. Les cellules jaunes sont modifiables.</x:v>
      </x:c>
      <x:c r="B3" s="35"/>
      <x:c r="C3" s="35"/>
      <x:c r="D3" s="35"/>
      <x:c r="E3" s="35"/>
      <x:c r="F3" s="35"/>
    </x:row>
    <x:row r="4">
      <x:c r="A4" s="36"/>
      <x:c r="B4" s="36"/>
      <x:c r="C4" s="36"/>
      <x:c r="D4" s="36"/>
      <x:c r="E4" s="36"/>
      <x:c r="F4" s="36"/>
    </x:row>
    <x:row r="5">
      <x:c r="A5" s="17" t="str">
        <x:v>Paramètre</x:v>
      </x:c>
      <x:c r="B5" s="17" t="str">
        <x:v>Valeur</x:v>
      </x:c>
      <x:c r="C5" s="36"/>
      <x:c r="D5" s="36"/>
      <x:c r="E5" s="36"/>
      <x:c r="F5" s="36"/>
    </x:row>
    <x:row r="6">
      <x:c r="A6" s="36" t="str">
        <x:v>Nom de la campagne / marque</x:v>
      </x:c>
      <x:c r="B6" s="37" t="str"/>
      <x:c r="C6" s="36"/>
      <x:c r="D6" s="36"/>
      <x:c r="E6" s="36"/>
      <x:c r="F6" s="36"/>
    </x:row>
    <x:row r="7">
      <x:c r="A7" s="36" t="str">
        <x:v>Période</x:v>
      </x:c>
      <x:c r="B7" s="37" t="str"/>
      <x:c r="C7" s="36"/>
      <x:c r="D7" s="36"/>
      <x:c r="E7" s="36"/>
      <x:c r="F7" s="36"/>
    </x:row>
    <x:row r="8">
      <x:c r="A8" s="36" t="str">
        <x:v>Secteur / segment</x:v>
      </x:c>
      <x:c r="B8" s="37" t="str">
        <x:v>Éducation - Bachelier</x:v>
      </x:c>
      <x:c r="C8" s="36"/>
      <x:c r="D8" s="36"/>
      <x:c r="E8" s="36"/>
      <x:c r="F8" s="36"/>
    </x:row>
    <x:row r="9">
      <x:c r="A9" s="36" t="str">
        <x:v>Devise</x:v>
      </x:c>
      <x:c r="B9" s="37" t="str">
        <x:v>MAD</x:v>
      </x:c>
      <x:c r="C9" s="36"/>
      <x:c r="D9" s="36"/>
      <x:c r="E9" s="36"/>
      <x:c r="F9" s="36"/>
    </x:row>
    <x:row r="10">
      <x:c r="A10" s="36" t="str">
        <x:v>Seuil de vigilance Forecast vs Réel</x:v>
      </x:c>
      <x:c r="B10" s="38" t="n">
        <x:v>0.1</x:v>
      </x:c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9" t="str">
        <x:v>Secteurs disponibles</x:v>
      </x:c>
      <x:c r="B12" s="39" t="str"/>
      <x:c r="C12" s="39" t="str"/>
      <x:c r="D12" s="39" t="str"/>
      <x:c r="E12" s="39" t="str"/>
      <x:c r="F12" s="39" t="str"/>
    </x:row>
    <x:row r="13">
      <x:c r="A13" s="36" t="str">
        <x:v>Éducation - Bachelier</x:v>
      </x:c>
      <x:c r="B13" s="36"/>
      <x:c r="C13" s="36"/>
      <x:c r="D13" s="36"/>
      <x:c r="E13" s="36"/>
      <x:c r="F13" s="36"/>
    </x:row>
    <x:row r="14">
      <x:c r="A14" s="36" t="str">
        <x:v>Éducation - Master</x:v>
      </x:c>
      <x:c r="B14" s="36"/>
      <x:c r="C14" s="36"/>
      <x:c r="D14" s="36"/>
      <x:c r="E14" s="36"/>
      <x:c r="F14" s="36"/>
    </x:row>
    <x:row r="15">
      <x:c r="A15" s="36" t="str">
        <x:v>Éducation - Formation continue / MBA</x:v>
      </x:c>
      <x:c r="B15" s="36"/>
      <x:c r="C15" s="36"/>
      <x:c r="D15" s="36"/>
      <x:c r="E15" s="36"/>
      <x:c r="F15" s="36"/>
    </x:row>
    <x:row r="16">
      <x:c r="A16" s="36" t="str">
        <x:v>Immobilier</x:v>
      </x:c>
      <x:c r="B16" s="36"/>
      <x:c r="C16" s="36"/>
      <x:c r="D16" s="36"/>
      <x:c r="E16" s="36"/>
      <x:c r="F16" s="36"/>
    </x:row>
    <x:row r="17">
      <x:c r="A17" s="36" t="str">
        <x:v>Automobile</x:v>
      </x:c>
      <x:c r="B17" s="36"/>
      <x:c r="C17" s="36"/>
      <x:c r="D17" s="36"/>
      <x:c r="E17" s="36"/>
      <x:c r="F17" s="36"/>
    </x:row>
    <x:row r="18">
      <x:c r="A18" s="36" t="str">
        <x:v>Retail / GMS</x:v>
      </x:c>
      <x:c r="B18" s="36"/>
      <x:c r="C18" s="36"/>
      <x:c r="D18" s="36"/>
      <x:c r="E18" s="36"/>
      <x:c r="F18" s="36"/>
    </x:row>
    <x:row r="19">
      <x:c r="A19" s="36" t="str">
        <x:v>Tourisme</x:v>
      </x:c>
      <x:c r="B19" s="36"/>
      <x:c r="C19" s="36"/>
      <x:c r="D19" s="36"/>
      <x:c r="E19" s="36"/>
      <x:c r="F19" s="36"/>
    </x:row>
    <x:row r="20">
      <x:c r="A20" s="36" t="str">
        <x:v>Banque / Assurance</x:v>
      </x:c>
      <x:c r="B20" s="36"/>
      <x:c r="C20" s="36"/>
      <x:c r="D20" s="36"/>
      <x:c r="E20" s="36"/>
      <x:c r="F20" s="36"/>
    </x:row>
  </x:sheetData>
  <x:mergeCells>
    <x:mergeCell ref="A1:F2"/>
    <x:mergeCell ref="A3:F3"/>
  </x:mergeCells>
  <x:dataValidations count="1">
    <x:dataValidation type="list" sqref="B8">
      <x:formula1>Parametres!$A$13:$A$20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34" hidden="0" customWidth="1"/>
    <x:col min="5" max="5" width="30" hidden="0" customWidth="1"/>
    <x:col min="6" max="6" width="42" hidden="0" customWidth="1"/>
  </x:cols>
  <x:sheetData>
    <x:row r="1">
      <x:c r="A1" s="34" t="str">
        <x:v>RICHMEDIA | Mode d’emploi</x:v>
      </x:c>
      <x:c r="B1" s="34"/>
      <x:c r="C1" s="34"/>
      <x:c r="D1" s="34"/>
      <x:c r="E1" s="34"/>
      <x:c r="F1" s="34"/>
      <x:c r="G1" s="4"/>
      <x:c r="H1" s="4"/>
    </x:row>
    <x:row r="2">
      <x:c r="A2" s="34"/>
      <x:c r="B2" s="34"/>
      <x:c r="C2" s="34"/>
      <x:c r="D2" s="34"/>
      <x:c r="E2" s="34"/>
      <x:c r="F2" s="34"/>
      <x:c r="G2" s="4"/>
      <x:c r="H2" s="4"/>
    </x:row>
    <x:row r="3">
      <x:c r="A3" s="35" t="str">
        <x:v>Template de pilotage mensuel / campagne — du média au business.</x:v>
      </x:c>
      <x:c r="B3" s="35"/>
      <x:c r="C3" s="35"/>
      <x:c r="D3" s="35"/>
      <x:c r="E3" s="35"/>
      <x:c r="F3" s="35"/>
      <x:c r="G3" s="9"/>
      <x:c r="H3" s="9"/>
    </x:row>
    <x:row r="4">
      <x:c r="A4" s="36"/>
      <x:c r="B4" s="36"/>
      <x:c r="C4" s="36"/>
      <x:c r="D4" s="36"/>
      <x:c r="E4" s="36"/>
      <x:c r="F4" s="36"/>
    </x:row>
    <x:row r="5">
      <x:c r="A5" s="17" t="str">
        <x:v>Étape</x:v>
      </x:c>
      <x:c r="B5" s="17" t="str">
        <x:v>Action</x:v>
      </x:c>
      <x:c r="C5" s="17" t="str">
        <x:v>Onglet</x:v>
      </x:c>
      <x:c r="D5" s="17" t="str">
        <x:v>À saisir</x:v>
      </x:c>
      <x:c r="E5" s="17" t="str">
        <x:v>Calculé automatiquement</x:v>
      </x:c>
      <x:c r="F5" s="17" t="str">
        <x:v>Conseil</x:v>
      </x:c>
    </x:row>
    <x:row r="6">
      <x:c r="A6" s="36" t="n">
        <x:v>1</x:v>
      </x:c>
      <x:c r="B6" s="36" t="str">
        <x:v>Renseigner la campagne</x:v>
      </x:c>
      <x:c r="C6" s="36" t="str">
        <x:v>Parametres</x:v>
      </x:c>
      <x:c r="D6" s="36" t="str">
        <x:v>Marque, période, secteur</x:v>
      </x:c>
      <x:c r="E6" s="36" t="str">
        <x:v>—</x:v>
      </x:c>
      <x:c r="F6" s="36" t="str">
        <x:v>Commencez toujours ici</x:v>
      </x:c>
    </x:row>
    <x:row r="7">
      <x:c r="A7" s="36" t="n">
        <x:v>2</x:v>
      </x:c>
      <x:c r="B7" s="36" t="str">
        <x:v>Importer les données média</x:v>
      </x:c>
      <x:c r="C7" s="36" t="str">
        <x:v>Performance_Canal</x:v>
      </x:c>
      <x:c r="D7" s="36" t="str">
        <x:v>Budget, impressions, clics, leads, conversions, CA</x:v>
      </x:c>
      <x:c r="E7" s="36" t="str">
        <x:v>CTR, CPC, CPL, CPA, ROAS</x:v>
      </x:c>
      <x:c r="F7" s="36" t="str">
        <x:v>Une ligne par canal</x:v>
      </x:c>
    </x:row>
    <x:row r="8">
      <x:c r="A8" s="36" t="n">
        <x:v>3</x:v>
      </x:c>
      <x:c r="B8" s="36" t="str">
        <x:v>Ajouter les données CRM</x:v>
      </x:c>
      <x:c r="C8" s="36" t="str">
        <x:v>Qualite_Leads</x:v>
      </x:c>
      <x:c r="D8" s="36" t="str">
        <x:v>Contactés, qualifiés, MQL, SQL, ventes</x:v>
      </x:c>
      <x:c r="E8" s="36" t="str">
        <x:v>Tous les taux de transformation</x:v>
      </x:c>
      <x:c r="F8" s="36" t="str">
        <x:v>Le CPL seul ne mesure pas la qualité</x:v>
      </x:c>
    </x:row>
    <x:row r="9">
      <x:c r="A9" s="36" t="n">
        <x:v>4</x:v>
      </x:c>
      <x:c r="B9" s="36" t="str">
        <x:v>Renseigner les objectifs</x:v>
      </x:c>
      <x:c r="C9" s="36" t="str">
        <x:v>Forecast_vs_Reel</x:v>
      </x:c>
      <x:c r="D9" s="36" t="str">
        <x:v>Forecast de chaque KPI</x:v>
      </x:c>
      <x:c r="E9" s="36" t="str">
        <x:v>Écart, écart %, statut</x:v>
      </x:c>
      <x:c r="F9" s="36" t="str">
        <x:v>Le seuil de vigilance est modifiable dans Parametres</x:v>
      </x:c>
    </x:row>
    <x:row r="10">
      <x:c r="A10" s="36" t="n">
        <x:v>5</x:v>
      </x:c>
      <x:c r="B10" s="36" t="str">
        <x:v>Lire la synthèse</x:v>
      </x:c>
      <x:c r="C10" s="36" t="str">
        <x:v>Dashboard</x:v>
      </x:c>
      <x:c r="D10" s="36" t="str">
        <x:v>—</x:v>
      </x:c>
      <x:c r="E10" s="36" t="str">
        <x:v>KPI, funnel, charts, benchmark CPL</x:v>
      </x:c>
      <x:c r="F10" s="36" t="str">
        <x:v>Utilisez cette page pour la direction marketing</x:v>
      </x:c>
    </x:row>
    <x:row r="11">
      <x:c r="A11" s="36" t="n">
        <x:v>6</x:v>
      </x:c>
      <x:c r="B11" s="36" t="str">
        <x:v>Comparer aux repères</x:v>
      </x:c>
      <x:c r="C11" s="36" t="str">
        <x:v>Benchmarks_2026</x:v>
      </x:c>
      <x:c r="D11" s="36" t="str">
        <x:v>—</x:v>
      </x:c>
      <x:c r="E11" s="36" t="str">
        <x:v>—</x:v>
      </x:c>
      <x:c r="F11" s="36" t="str">
        <x:v>Les benchmarks sont des fourchettes Richmedia, pas des garanties</x:v>
      </x:c>
    </x:row>
    <x:row r="12">
      <x:c r="A12" s="36"/>
      <x:c r="B12" s="36"/>
      <x:c r="C12" s="36"/>
      <x:c r="D12" s="36"/>
      <x:c r="E12" s="36"/>
      <x:c r="F12" s="36"/>
    </x:row>
    <x:row r="13">
      <x:c r="A13" s="224" t="str">
        <x:v>Logique de pilotage recommandée : MÉDIA (CPM / CTR / CPC) → ACQUISITION (Leads / CPL / CPA) → QUALITÉ (Contact / MQL / SQL) → BUSINESS (Ventes / CAC / CA / ROAS).</x:v>
      </x:c>
      <x:c r="B13" s="224"/>
      <x:c r="C13" s="224"/>
      <x:c r="D13" s="224"/>
      <x:c r="E13" s="224"/>
      <x:c r="F13" s="224"/>
    </x:row>
    <x:row r="14">
      <x:c r="A14" s="224"/>
      <x:c r="B14" s="224"/>
      <x:c r="C14" s="224"/>
      <x:c r="D14" s="224"/>
      <x:c r="E14" s="224"/>
      <x:c r="F14" s="224"/>
    </x:row>
    <x:row r="15">
      <x:c r="A15" s="36"/>
      <x:c r="B15" s="36"/>
      <x:c r="C15" s="36"/>
      <x:c r="D15" s="36"/>
      <x:c r="E15" s="36"/>
      <x:c r="F15" s="36"/>
    </x:row>
    <x:row r="16">
      <x:c r="A16" s="231" t="str">
        <x:v>Important : les benchmarks 2026 sont des fourchettes observées dans l’échantillon Richmedia 2022–2026. Ils servent de repères de lecture et ne constituent ni des garanties de performance ni des standards universels.</x:v>
      </x:c>
      <x:c r="B16" s="231"/>
      <x:c r="C16" s="231"/>
      <x:c r="D16" s="231"/>
      <x:c r="E16" s="231"/>
      <x:c r="F16" s="231"/>
    </x:row>
    <x:row r="17">
      <x:c r="A17" s="231"/>
      <x:c r="B17" s="231"/>
      <x:c r="C17" s="231"/>
      <x:c r="D17" s="231"/>
      <x:c r="E17" s="231"/>
      <x:c r="F17" s="231"/>
    </x:row>
    <x:row r="18">
      <x:c r="A18" s="231"/>
      <x:c r="B18" s="231"/>
      <x:c r="C18" s="231"/>
      <x:c r="D18" s="231"/>
      <x:c r="E18" s="231"/>
      <x:c r="F18" s="231"/>
    </x:row>
    <x:row r="19">
      <x:c r="A19" s="36"/>
      <x:c r="B19" s="36"/>
      <x:c r="C19" s="36"/>
      <x:c r="D19" s="36"/>
      <x:c r="E19" s="36"/>
      <x:c r="F19" s="36"/>
    </x:row>
    <x:row r="20">
      <x:c r="A20" s="36"/>
      <x:c r="B20" s="36"/>
      <x:c r="C20" s="36"/>
      <x:c r="D20" s="36"/>
      <x:c r="E20" s="36"/>
      <x:c r="F20" s="36"/>
    </x:row>
    <x:row r="21">
      <x:c r="A21" s="36"/>
      <x:c r="B21" s="36"/>
      <x:c r="C21" s="36"/>
      <x:c r="D21" s="36"/>
      <x:c r="E21" s="36"/>
      <x:c r="F21" s="36"/>
    </x:row>
    <x:row r="22">
      <x:c r="A22" s="36"/>
      <x:c r="B22" s="36"/>
      <x:c r="C22" s="36"/>
      <x:c r="D22" s="36"/>
      <x:c r="E22" s="36"/>
      <x:c r="F22" s="36"/>
    </x:row>
    <x:row r="23">
      <x:c r="A23" s="36"/>
      <x:c r="B23" s="36"/>
      <x:c r="C23" s="36"/>
      <x:c r="D23" s="36"/>
      <x:c r="E23" s="36"/>
      <x:c r="F23" s="36"/>
    </x:row>
    <x:row r="24">
      <x:c r="A24" s="36"/>
      <x:c r="B24" s="36"/>
      <x:c r="C24" s="36"/>
      <x:c r="D24" s="36"/>
      <x:c r="E24" s="36"/>
      <x:c r="F24" s="36"/>
    </x:row>
    <x:row r="25">
      <x:c r="A25" s="36"/>
      <x:c r="B25" s="36"/>
      <x:c r="C25" s="36"/>
      <x:c r="D25" s="36"/>
      <x:c r="E25" s="36"/>
      <x:c r="F25" s="36"/>
    </x:row>
  </x:sheetData>
  <x:mergeCells>
    <x:mergeCell ref="A1:H2"/>
    <x:mergeCell ref="A3:H3"/>
    <x:mergeCell ref="A13:F14"/>
    <x:mergeCell ref="A16:F18"/>
  </x:mergeCells>
  <x:pageMargins left="0.7" right="0.7" top="0.75" bottom="0.75" header="0.3" footer="0.3"/>
</x:worksheet>
</file>